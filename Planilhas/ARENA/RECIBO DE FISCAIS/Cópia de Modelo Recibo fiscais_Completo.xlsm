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120" yWindow="195" windowWidth="19035" windowHeight="11580"/>
  </bookViews>
  <sheets>
    <sheet name="Recibo" sheetId="1" r:id="rId1"/>
    <sheet name="Alimentação dados" sheetId="3" r:id="rId2"/>
    <sheet name="Lista de Presença" sheetId="5" r:id="rId3"/>
  </sheets>
  <functionGroups builtInGroupCount="17"/>
  <definedNames>
    <definedName name="_xlnm._FilterDatabase" localSheetId="1" hidden="1">'Alimentação dados'!$A$1:$E$1</definedName>
    <definedName name="PRI.MAIÚSCULA">Recibo!$D$8</definedName>
  </definedNames>
  <calcPr calcId="145621"/>
</workbook>
</file>

<file path=xl/calcChain.xml><?xml version="1.0" encoding="utf-8"?>
<calcChain xmlns="http://schemas.openxmlformats.org/spreadsheetml/2006/main">
  <c r="E13" i="5" l="1"/>
  <c r="E15" i="5"/>
  <c r="E10" i="5"/>
  <c r="E27" i="5"/>
  <c r="E34" i="5" l="1"/>
  <c r="E33" i="5"/>
  <c r="E32" i="5"/>
  <c r="E31" i="5"/>
  <c r="E30" i="5"/>
  <c r="E29" i="5"/>
  <c r="E14" i="5"/>
  <c r="E17" i="5"/>
  <c r="E19" i="5"/>
  <c r="E25" i="5"/>
  <c r="E7" i="5"/>
  <c r="E20" i="5"/>
  <c r="E11" i="5"/>
  <c r="E5" i="5"/>
  <c r="E6" i="5"/>
  <c r="E23" i="5"/>
  <c r="E28" i="5"/>
  <c r="E12" i="5"/>
  <c r="E21" i="5"/>
  <c r="E18" i="5"/>
  <c r="E24" i="5"/>
  <c r="E9" i="5"/>
  <c r="E26" i="5"/>
  <c r="E3" i="5"/>
  <c r="E4" i="5"/>
  <c r="E8" i="5"/>
  <c r="E16" i="5"/>
  <c r="E22" i="5"/>
  <c r="J54" i="1" l="1"/>
  <c r="J35" i="1"/>
  <c r="J16" i="1"/>
  <c r="K57" i="1"/>
  <c r="K38" i="1"/>
  <c r="K19" i="1"/>
  <c r="D46" i="1"/>
  <c r="D27" i="1"/>
  <c r="D8" i="1"/>
  <c r="E35" i="5" l="1"/>
</calcChain>
</file>

<file path=xl/sharedStrings.xml><?xml version="1.0" encoding="utf-8"?>
<sst xmlns="http://schemas.openxmlformats.org/spreadsheetml/2006/main" count="191" uniqueCount="104">
  <si>
    <t>TIPO</t>
  </si>
  <si>
    <t xml:space="preserve"> </t>
  </si>
  <si>
    <t>FISCALIZAÇÃO DE PROVA</t>
  </si>
  <si>
    <t>NOME COMPLETO</t>
  </si>
  <si>
    <t>CPF</t>
  </si>
  <si>
    <t>Datas Serv. Prestados</t>
  </si>
  <si>
    <t>nos dias</t>
  </si>
  <si>
    <t>750.933.081-53</t>
  </si>
  <si>
    <t>042.646.081-20</t>
  </si>
  <si>
    <t>041.372.001-22</t>
  </si>
  <si>
    <t>Fiscais</t>
  </si>
  <si>
    <t>Total</t>
  </si>
  <si>
    <t>Assinatura</t>
  </si>
  <si>
    <t>Lista de Presença</t>
  </si>
  <si>
    <t>Data do Pagamento:</t>
  </si>
  <si>
    <t>Educandário Sol Nascente S/S Ltda</t>
  </si>
  <si>
    <t xml:space="preserve">Adriana Rosa Da Silva </t>
  </si>
  <si>
    <t>040.345.101-96</t>
  </si>
  <si>
    <t>Fiscalização de Prova</t>
  </si>
  <si>
    <t>Alana Pessoa Teixeira</t>
  </si>
  <si>
    <t>032.992.881-30</t>
  </si>
  <si>
    <t>Bruna Garcia Alves</t>
  </si>
  <si>
    <t>Eduardo de Paula Silva</t>
  </si>
  <si>
    <t>Francisco José Leite de Oliveira Neto</t>
  </si>
  <si>
    <t>Gabriela de Barros Faria</t>
  </si>
  <si>
    <t>702.320.061-48</t>
  </si>
  <si>
    <t>Gisele Chaves da Silva</t>
  </si>
  <si>
    <t>041.325.821-16</t>
  </si>
  <si>
    <t>Helio Rocha Carvalho</t>
  </si>
  <si>
    <t>990.217.571-68</t>
  </si>
  <si>
    <t>Helio Santos Pimenta</t>
  </si>
  <si>
    <t>Heloisa Xavier Celso Vieira</t>
  </si>
  <si>
    <t>052.388.991-73</t>
  </si>
  <si>
    <t>Jean Carlo Bagiani de Oliveira</t>
  </si>
  <si>
    <t>027.478.181-60</t>
  </si>
  <si>
    <t>José Gabriel Fernandes de Souza</t>
  </si>
  <si>
    <t>053.875.211-48</t>
  </si>
  <si>
    <t>Julia de Oliveira</t>
  </si>
  <si>
    <t>700.863.881-77</t>
  </si>
  <si>
    <t>Kamila Coelho da Silva</t>
  </si>
  <si>
    <t>750.838.921-20</t>
  </si>
  <si>
    <t>Larissa Silva Macedo</t>
  </si>
  <si>
    <t>700.321.921-26</t>
  </si>
  <si>
    <t>Leandro Pessoa Teixeira</t>
  </si>
  <si>
    <t>042.562.351-32</t>
  </si>
  <si>
    <t>Leonardo Oliveira Prudente</t>
  </si>
  <si>
    <t>018.286.681-50</t>
  </si>
  <si>
    <t>Nayara Pereira da Costa</t>
  </si>
  <si>
    <t>Paula Karolyne Alves</t>
  </si>
  <si>
    <t>022.216.551-09</t>
  </si>
  <si>
    <t>Paulo Douglas Martins de Menezes</t>
  </si>
  <si>
    <t>029 014 031 58</t>
  </si>
  <si>
    <t>Pedro Henrique Fonseca Umbelino</t>
  </si>
  <si>
    <t>027.602.921-69</t>
  </si>
  <si>
    <t>Raphael Henrique Olinto dos Santos</t>
  </si>
  <si>
    <t>700.015.841-70</t>
  </si>
  <si>
    <t>Roberto Lopes Kolling</t>
  </si>
  <si>
    <t>048.952.341-26</t>
  </si>
  <si>
    <t>Sthefany Desirre Santana de Castro</t>
  </si>
  <si>
    <t>386.080.938-55</t>
  </si>
  <si>
    <t>Tatiane Alves de Souza</t>
  </si>
  <si>
    <t>043.425.671-48</t>
  </si>
  <si>
    <t>Thiago Higor Patrocinio Alves</t>
  </si>
  <si>
    <t>035.418.631-02</t>
  </si>
  <si>
    <t>Tulio Teles Vieira Filhos</t>
  </si>
  <si>
    <t>750.461.641-91</t>
  </si>
  <si>
    <t>Mardem Bezerra Gomes</t>
  </si>
  <si>
    <t>João Pedro Ruivo Dantas</t>
  </si>
  <si>
    <t>Heitor Hourani do Nascimento</t>
  </si>
  <si>
    <t>048.972.081-14</t>
  </si>
  <si>
    <t>019.263.121-71</t>
  </si>
  <si>
    <t>Beatriz de Azevedo Novak</t>
  </si>
  <si>
    <t>Maryssa Rodrigues Aguiar Nascimento</t>
  </si>
  <si>
    <t>Gustavo Arantes Vieira</t>
  </si>
  <si>
    <t>Maria Eduarda Pinheiro Bastos Soares</t>
  </si>
  <si>
    <t>Wanessa Cristina Silva</t>
  </si>
  <si>
    <t>Breno Gonçalves Batista Carlos</t>
  </si>
  <si>
    <t>Gustavo Henrique Evangelista</t>
  </si>
  <si>
    <t>757.282.061-15</t>
  </si>
  <si>
    <t>008.569.843-10</t>
  </si>
  <si>
    <t>029.788.971-04</t>
  </si>
  <si>
    <t>026.071.271-06</t>
  </si>
  <si>
    <t>033.581.371-20</t>
  </si>
  <si>
    <t>702.753.491-60</t>
  </si>
  <si>
    <t>026.677.311-74</t>
  </si>
  <si>
    <t>Lorena Alvarenga Almeida</t>
  </si>
  <si>
    <t>033.652.521-42</t>
  </si>
  <si>
    <t>Bruna Gonçalves Gratão</t>
  </si>
  <si>
    <t>Leticia Rodrigues Bonfim Duarte</t>
  </si>
  <si>
    <t>037.144.581-74</t>
  </si>
  <si>
    <t>016.133.781-30</t>
  </si>
  <si>
    <t>Caio Fernandes da Costa</t>
  </si>
  <si>
    <t>039.993.531-20</t>
  </si>
  <si>
    <t>Tiago Higor Patrocinio Alves</t>
  </si>
  <si>
    <t>Paulo Douglas Martins Menezes</t>
  </si>
  <si>
    <t>Helio Rocha de Carvalho</t>
  </si>
  <si>
    <t>Raphael Henrique Olinto</t>
  </si>
  <si>
    <t>Carlos Eduardo de Abreu Almeida</t>
  </si>
  <si>
    <t>Rafael Ferreira de Abreu</t>
  </si>
  <si>
    <t>Carlos Eduardo de Abreu</t>
  </si>
  <si>
    <t>28 e 29/06/2017</t>
  </si>
  <si>
    <t>27 - 28 e 29/06/2017</t>
  </si>
  <si>
    <t xml:space="preserve">054.948.841-39 </t>
  </si>
  <si>
    <t xml:space="preserve">754.978.671-20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</si>
</sst>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R$ &quot;* #,##0.00_);_(&quot;R$ &quot;* \(#,##0.00\);_(&quot;R$ &quot;* &quot;-&quot;??_);_(@_)"/>
    <numFmt numFmtId="165" formatCode="000&quot;.&quot;000&quot;.&quot;000&quot;-&quot;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Protection="1"/>
    <xf numFmtId="0" fontId="0" fillId="3" borderId="0" xfId="0" applyFill="1" applyAlignment="1" applyProtection="1">
      <alignment horizontal="center"/>
    </xf>
    <xf numFmtId="164" fontId="0" fillId="0" borderId="0" xfId="1" applyFont="1" applyAlignment="1" applyProtection="1"/>
    <xf numFmtId="0" fontId="0" fillId="0" borderId="0" xfId="0" applyBorder="1" applyProtection="1"/>
    <xf numFmtId="14" fontId="0" fillId="0" borderId="1" xfId="0" applyNumberForma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" fontId="2" fillId="0" borderId="0" xfId="0" applyNumberFormat="1" applyFont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Border="1" applyAlignment="1" applyProtection="1">
      <alignment horizontal="center"/>
    </xf>
    <xf numFmtId="0" fontId="0" fillId="2" borderId="0" xfId="0" applyFill="1" applyProtection="1"/>
    <xf numFmtId="49" fontId="3" fillId="4" borderId="2" xfId="0" applyNumberFormat="1" applyFont="1" applyFill="1" applyBorder="1" applyAlignment="1" applyProtection="1">
      <alignment horizontal="center"/>
      <protection locked="0"/>
    </xf>
    <xf numFmtId="49" fontId="3" fillId="4" borderId="5" xfId="0" applyNumberFormat="1" applyFont="1" applyFill="1" applyBorder="1" applyAlignment="1" applyProtection="1">
      <alignment horizontal="center"/>
      <protection locked="0"/>
    </xf>
    <xf numFmtId="0" fontId="3" fillId="4" borderId="5" xfId="0" applyFont="1" applyFill="1" applyBorder="1" applyProtection="1">
      <protection locked="0"/>
    </xf>
    <xf numFmtId="0" fontId="3" fillId="4" borderId="6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165" fontId="0" fillId="3" borderId="4" xfId="0" applyNumberFormat="1" applyFill="1" applyBorder="1" applyAlignment="1" applyProtection="1">
      <alignment horizontal="center"/>
      <protection locked="0"/>
    </xf>
    <xf numFmtId="49" fontId="0" fillId="0" borderId="3" xfId="0" applyNumberFormat="1" applyBorder="1" applyAlignment="1">
      <alignment horizontal="left"/>
    </xf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49" fontId="0" fillId="3" borderId="3" xfId="0" applyNumberFormat="1" applyFill="1" applyBorder="1" applyAlignment="1">
      <alignment horizontal="left"/>
    </xf>
    <xf numFmtId="0" fontId="0" fillId="0" borderId="4" xfId="0" applyFont="1" applyBorder="1" applyAlignment="1">
      <alignment horizontal="right"/>
    </xf>
    <xf numFmtId="165" fontId="0" fillId="3" borderId="4" xfId="0" applyNumberFormat="1" applyFont="1" applyFill="1" applyBorder="1" applyAlignment="1" applyProtection="1">
      <alignment horizontal="center"/>
      <protection locked="0"/>
    </xf>
    <xf numFmtId="165" fontId="0" fillId="3" borderId="4" xfId="0" applyNumberFormat="1" applyFill="1" applyBorder="1" applyAlignment="1">
      <alignment horizontal="center"/>
    </xf>
    <xf numFmtId="49" fontId="0" fillId="3" borderId="3" xfId="0" applyNumberFormat="1" applyFill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3" xfId="0" applyFill="1" applyBorder="1"/>
    <xf numFmtId="14" fontId="0" fillId="0" borderId="4" xfId="0" applyNumberFormat="1" applyBorder="1" applyAlignment="1" applyProtection="1">
      <alignment horizontal="center"/>
      <protection locked="0"/>
    </xf>
    <xf numFmtId="0" fontId="5" fillId="3" borderId="3" xfId="0" applyFont="1" applyFill="1" applyBorder="1" applyProtection="1">
      <protection locked="0"/>
    </xf>
    <xf numFmtId="165" fontId="0" fillId="0" borderId="4" xfId="0" applyNumberFormat="1" applyBorder="1" applyAlignment="1" applyProtection="1">
      <alignment horizontal="center"/>
      <protection locked="0"/>
    </xf>
    <xf numFmtId="0" fontId="6" fillId="0" borderId="4" xfId="0" applyFont="1" applyBorder="1" applyAlignment="1">
      <alignment horizontal="center"/>
    </xf>
    <xf numFmtId="165" fontId="0" fillId="3" borderId="0" xfId="0" applyNumberFormat="1" applyFill="1" applyBorder="1" applyAlignment="1" applyProtection="1">
      <alignment horizontal="center"/>
      <protection locked="0"/>
    </xf>
    <xf numFmtId="0" fontId="0" fillId="3" borderId="4" xfId="0" applyNumberFormat="1" applyFill="1" applyBorder="1" applyAlignment="1" applyProtection="1">
      <alignment horizontal="center"/>
      <protection locked="0"/>
    </xf>
    <xf numFmtId="165" fontId="0" fillId="3" borderId="0" xfId="0" applyNumberFormat="1" applyFill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7" borderId="2" xfId="0" applyFont="1" applyFill="1" applyBorder="1"/>
    <xf numFmtId="14" fontId="3" fillId="7" borderId="5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/>
    <xf numFmtId="4" fontId="0" fillId="2" borderId="4" xfId="0" applyNumberFormat="1" applyFill="1" applyBorder="1" applyAlignment="1">
      <alignment horizontal="center"/>
    </xf>
    <xf numFmtId="0" fontId="0" fillId="2" borderId="7" xfId="0" applyFill="1" applyBorder="1"/>
    <xf numFmtId="4" fontId="0" fillId="3" borderId="4" xfId="0" applyNumberFormat="1" applyFill="1" applyBorder="1" applyAlignment="1">
      <alignment horizontal="center"/>
    </xf>
    <xf numFmtId="0" fontId="0" fillId="3" borderId="7" xfId="0" applyFill="1" applyBorder="1"/>
    <xf numFmtId="14" fontId="0" fillId="6" borderId="1" xfId="0" applyNumberFormat="1" applyFill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/>
    <xf numFmtId="0" fontId="3" fillId="6" borderId="0" xfId="0" applyFont="1" applyFill="1" applyAlignment="1" applyProtection="1">
      <protection locked="0"/>
    </xf>
    <xf numFmtId="165" fontId="0" fillId="2" borderId="0" xfId="0" applyNumberFormat="1" applyFill="1" applyAlignment="1" applyProtection="1">
      <alignment horizontal="left"/>
    </xf>
    <xf numFmtId="164" fontId="0" fillId="5" borderId="0" xfId="1" applyFont="1" applyFill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  <protection locked="0"/>
    </xf>
    <xf numFmtId="0" fontId="4" fillId="0" borderId="9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5" fillId="2" borderId="3" xfId="0" applyFont="1" applyFill="1" applyBorder="1" applyProtection="1">
      <protection locked="0"/>
    </xf>
    <xf numFmtId="0" fontId="0" fillId="0" borderId="12" xfId="0" applyBorder="1"/>
    <xf numFmtId="4" fontId="0" fillId="0" borderId="8" xfId="0" applyNumberFormat="1" applyBorder="1" applyAlignment="1">
      <alignment horizontal="center"/>
    </xf>
    <xf numFmtId="0" fontId="0" fillId="0" borderId="13" xfId="0" applyBorder="1"/>
    <xf numFmtId="0" fontId="7" fillId="0" borderId="0" xfId="0" applyFont="1"/>
    <xf numFmtId="49" fontId="0" fillId="3" borderId="14" xfId="0" applyNumberFormat="1" applyFill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center"/>
      <protection locked="0"/>
    </xf>
    <xf numFmtId="14" fontId="0" fillId="0" borderId="15" xfId="0" applyNumberFormat="1" applyBorder="1" applyAlignment="1" applyProtection="1">
      <alignment horizontal="center"/>
      <protection locked="0"/>
    </xf>
    <xf numFmtId="14" fontId="0" fillId="0" borderId="15" xfId="0" applyNumberFormat="1" applyBorder="1" applyAlignment="1">
      <alignment horizontal="center" vertical="center"/>
    </xf>
    <xf numFmtId="0" fontId="7" fillId="0" borderId="4" xfId="0" applyFont="1" applyBorder="1"/>
    <xf numFmtId="49" fontId="0" fillId="3" borderId="4" xfId="0" applyNumberFormat="1" applyFill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17861</xdr:colOff>
      <xdr:row>1</xdr:row>
      <xdr:rowOff>23814</xdr:rowOff>
    </xdr:from>
    <xdr:to>
      <xdr:col>15</xdr:col>
      <xdr:colOff>158111</xdr:colOff>
      <xdr:row>19</xdr:row>
      <xdr:rowOff>87923</xdr:rowOff>
    </xdr:to>
    <xdr:sp macro="" textlink="">
      <xdr:nvSpPr>
        <xdr:cNvPr id="5" name="Retângulo de cantos arredondados 4"/>
        <xdr:cNvSpPr/>
      </xdr:nvSpPr>
      <xdr:spPr>
        <a:xfrm>
          <a:off x="135092" y="119064"/>
          <a:ext cx="5686731" cy="3192705"/>
        </a:xfrm>
        <a:prstGeom prst="roundRect">
          <a:avLst>
            <a:gd name="adj" fmla="val 1978"/>
          </a:avLst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5</xdr:col>
      <xdr:colOff>357647</xdr:colOff>
      <xdr:row>1</xdr:row>
      <xdr:rowOff>21981</xdr:rowOff>
    </xdr:from>
    <xdr:ext cx="1518046" cy="322384"/>
    <xdr:sp macro="" textlink="">
      <xdr:nvSpPr>
        <xdr:cNvPr id="8" name="Retângulo 7"/>
        <xdr:cNvSpPr/>
      </xdr:nvSpPr>
      <xdr:spPr>
        <a:xfrm>
          <a:off x="1881647" y="117231"/>
          <a:ext cx="1518046" cy="32238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RECIBO</a:t>
          </a:r>
        </a:p>
      </xdr:txBody>
    </xdr:sp>
    <xdr:clientData/>
  </xdr:oneCellAnchor>
  <xdr:oneCellAnchor>
    <xdr:from>
      <xdr:col>8</xdr:col>
      <xdr:colOff>428002</xdr:colOff>
      <xdr:row>1</xdr:row>
      <xdr:rowOff>78525</xdr:rowOff>
    </xdr:from>
    <xdr:ext cx="918008" cy="405432"/>
    <xdr:sp macro="" textlink="">
      <xdr:nvSpPr>
        <xdr:cNvPr id="9" name="Retângulo 8"/>
        <xdr:cNvSpPr/>
      </xdr:nvSpPr>
      <xdr:spPr>
        <a:xfrm>
          <a:off x="3362893" y="173775"/>
          <a:ext cx="91800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VALOR</a:t>
          </a:r>
        </a:p>
      </xdr:txBody>
    </xdr:sp>
    <xdr:clientData/>
  </xdr:oneCellAnchor>
  <xdr:oneCellAnchor>
    <xdr:from>
      <xdr:col>1</xdr:col>
      <xdr:colOff>54902</xdr:colOff>
      <xdr:row>5</xdr:row>
      <xdr:rowOff>24946</xdr:rowOff>
    </xdr:from>
    <xdr:ext cx="1283236" cy="280205"/>
    <xdr:sp macro="" textlink="">
      <xdr:nvSpPr>
        <xdr:cNvPr id="11" name="Retângulo 10"/>
        <xdr:cNvSpPr/>
      </xdr:nvSpPr>
      <xdr:spPr>
        <a:xfrm>
          <a:off x="172133" y="786946"/>
          <a:ext cx="128323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Recebi</a:t>
          </a:r>
          <a:r>
            <a:rPr lang="pt-BR" sz="1200" b="0" cap="none" spc="0" baseline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 (emos) de</a:t>
          </a:r>
          <a:endParaRPr lang="pt-BR" sz="1200" b="0" cap="none" spc="0">
            <a:ln w="10541" cmpd="sng">
              <a:noFill/>
              <a:prstDash val="solid"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1</xdr:col>
      <xdr:colOff>60683</xdr:colOff>
      <xdr:row>6</xdr:row>
      <xdr:rowOff>141629</xdr:rowOff>
    </xdr:from>
    <xdr:ext cx="981166" cy="280205"/>
    <xdr:sp macro="" textlink="">
      <xdr:nvSpPr>
        <xdr:cNvPr id="14" name="Retângulo 13"/>
        <xdr:cNvSpPr/>
      </xdr:nvSpPr>
      <xdr:spPr>
        <a:xfrm>
          <a:off x="173792" y="998879"/>
          <a:ext cx="98116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a quantia de</a:t>
          </a:r>
        </a:p>
      </xdr:txBody>
    </xdr:sp>
    <xdr:clientData/>
  </xdr:oneCellAnchor>
  <xdr:oneCellAnchor>
    <xdr:from>
      <xdr:col>1</xdr:col>
      <xdr:colOff>39412</xdr:colOff>
      <xdr:row>10</xdr:row>
      <xdr:rowOff>131887</xdr:rowOff>
    </xdr:from>
    <xdr:ext cx="1411861" cy="280205"/>
    <xdr:sp macro="" textlink="">
      <xdr:nvSpPr>
        <xdr:cNvPr id="17" name="Retângulo 16"/>
        <xdr:cNvSpPr/>
      </xdr:nvSpPr>
      <xdr:spPr>
        <a:xfrm>
          <a:off x="156643" y="1707175"/>
          <a:ext cx="1411861" cy="280205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Correspondente a</a:t>
          </a:r>
        </a:p>
      </xdr:txBody>
    </xdr:sp>
    <xdr:clientData/>
  </xdr:oneCellAnchor>
  <xdr:oneCellAnchor>
    <xdr:from>
      <xdr:col>1</xdr:col>
      <xdr:colOff>47554</xdr:colOff>
      <xdr:row>13</xdr:row>
      <xdr:rowOff>5899</xdr:rowOff>
    </xdr:from>
    <xdr:ext cx="5623484" cy="280205"/>
    <xdr:sp macro="" textlink="">
      <xdr:nvSpPr>
        <xdr:cNvPr id="22" name="Retângulo 21"/>
        <xdr:cNvSpPr/>
      </xdr:nvSpPr>
      <xdr:spPr>
        <a:xfrm>
          <a:off x="164785" y="2152687"/>
          <a:ext cx="5623484" cy="280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Sendo este pago em moeda</a:t>
          </a:r>
          <a:r>
            <a:rPr lang="pt-BR" sz="1200" b="0" cap="none" spc="0" baseline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 corrente nacional</a:t>
          </a:r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. E para clareza firmo (amos) o presente.</a:t>
          </a:r>
        </a:p>
      </xdr:txBody>
    </xdr:sp>
    <xdr:clientData/>
  </xdr:oneCellAnchor>
  <xdr:twoCellAnchor>
    <xdr:from>
      <xdr:col>1</xdr:col>
      <xdr:colOff>173082</xdr:colOff>
      <xdr:row>17</xdr:row>
      <xdr:rowOff>115401</xdr:rowOff>
    </xdr:from>
    <xdr:to>
      <xdr:col>7</xdr:col>
      <xdr:colOff>43946</xdr:colOff>
      <xdr:row>17</xdr:row>
      <xdr:rowOff>117232</xdr:rowOff>
    </xdr:to>
    <xdr:cxnSp macro="">
      <xdr:nvCxnSpPr>
        <xdr:cNvPr id="37" name="Conector reto 36"/>
        <xdr:cNvCxnSpPr/>
      </xdr:nvCxnSpPr>
      <xdr:spPr>
        <a:xfrm>
          <a:off x="290313" y="2958247"/>
          <a:ext cx="2618460" cy="183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123185</xdr:colOff>
      <xdr:row>3</xdr:row>
      <xdr:rowOff>156157</xdr:rowOff>
    </xdr:from>
    <xdr:to>
      <xdr:col>15</xdr:col>
      <xdr:colOff>87466</xdr:colOff>
      <xdr:row>19</xdr:row>
      <xdr:rowOff>7328</xdr:rowOff>
    </xdr:to>
    <xdr:sp macro="" textlink="">
      <xdr:nvSpPr>
        <xdr:cNvPr id="41" name="Retângulo de cantos arredondados 40"/>
        <xdr:cNvSpPr/>
      </xdr:nvSpPr>
      <xdr:spPr>
        <a:xfrm>
          <a:off x="240416" y="632407"/>
          <a:ext cx="5510762" cy="2598767"/>
        </a:xfrm>
        <a:prstGeom prst="roundRect">
          <a:avLst>
            <a:gd name="adj" fmla="val 1769"/>
          </a:avLst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153862</xdr:colOff>
      <xdr:row>1</xdr:row>
      <xdr:rowOff>43962</xdr:rowOff>
    </xdr:from>
    <xdr:to>
      <xdr:col>3</xdr:col>
      <xdr:colOff>58614</xdr:colOff>
      <xdr:row>3</xdr:row>
      <xdr:rowOff>139212</xdr:rowOff>
    </xdr:to>
    <xdr:pic>
      <xdr:nvPicPr>
        <xdr:cNvPr id="20" name="Imagem 19" descr="logo_olimp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1093" y="139212"/>
          <a:ext cx="908540" cy="476250"/>
        </a:xfrm>
        <a:prstGeom prst="rect">
          <a:avLst/>
        </a:prstGeom>
      </xdr:spPr>
    </xdr:pic>
    <xdr:clientData/>
  </xdr:twoCellAnchor>
  <xdr:twoCellAnchor>
    <xdr:from>
      <xdr:col>1</xdr:col>
      <xdr:colOff>17861</xdr:colOff>
      <xdr:row>20</xdr:row>
      <xdr:rowOff>23814</xdr:rowOff>
    </xdr:from>
    <xdr:to>
      <xdr:col>15</xdr:col>
      <xdr:colOff>158111</xdr:colOff>
      <xdr:row>38</xdr:row>
      <xdr:rowOff>87923</xdr:rowOff>
    </xdr:to>
    <xdr:sp macro="" textlink="">
      <xdr:nvSpPr>
        <xdr:cNvPr id="36" name="Retângulo de cantos arredondados 35"/>
        <xdr:cNvSpPr/>
      </xdr:nvSpPr>
      <xdr:spPr>
        <a:xfrm>
          <a:off x="135092" y="119064"/>
          <a:ext cx="5818615" cy="3192705"/>
        </a:xfrm>
        <a:prstGeom prst="roundRect">
          <a:avLst>
            <a:gd name="adj" fmla="val 1978"/>
          </a:avLst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5</xdr:col>
      <xdr:colOff>357647</xdr:colOff>
      <xdr:row>20</xdr:row>
      <xdr:rowOff>21981</xdr:rowOff>
    </xdr:from>
    <xdr:ext cx="1518046" cy="322384"/>
    <xdr:sp macro="" textlink="">
      <xdr:nvSpPr>
        <xdr:cNvPr id="38" name="Retângulo 37"/>
        <xdr:cNvSpPr/>
      </xdr:nvSpPr>
      <xdr:spPr>
        <a:xfrm>
          <a:off x="1881647" y="117231"/>
          <a:ext cx="1518046" cy="32238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RECIBO</a:t>
          </a:r>
        </a:p>
      </xdr:txBody>
    </xdr:sp>
    <xdr:clientData/>
  </xdr:oneCellAnchor>
  <xdr:oneCellAnchor>
    <xdr:from>
      <xdr:col>8</xdr:col>
      <xdr:colOff>428002</xdr:colOff>
      <xdr:row>20</xdr:row>
      <xdr:rowOff>78525</xdr:rowOff>
    </xdr:from>
    <xdr:ext cx="918008" cy="405432"/>
    <xdr:sp macro="" textlink="">
      <xdr:nvSpPr>
        <xdr:cNvPr id="39" name="Retângulo 38"/>
        <xdr:cNvSpPr/>
      </xdr:nvSpPr>
      <xdr:spPr>
        <a:xfrm>
          <a:off x="3366098" y="173775"/>
          <a:ext cx="91800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VALOR</a:t>
          </a:r>
        </a:p>
      </xdr:txBody>
    </xdr:sp>
    <xdr:clientData/>
  </xdr:oneCellAnchor>
  <xdr:oneCellAnchor>
    <xdr:from>
      <xdr:col>1</xdr:col>
      <xdr:colOff>54902</xdr:colOff>
      <xdr:row>24</xdr:row>
      <xdr:rowOff>24946</xdr:rowOff>
    </xdr:from>
    <xdr:ext cx="1283236" cy="280205"/>
    <xdr:sp macro="" textlink="">
      <xdr:nvSpPr>
        <xdr:cNvPr id="40" name="Retângulo 39"/>
        <xdr:cNvSpPr/>
      </xdr:nvSpPr>
      <xdr:spPr>
        <a:xfrm>
          <a:off x="172133" y="786946"/>
          <a:ext cx="128323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Recebi</a:t>
          </a:r>
          <a:r>
            <a:rPr lang="pt-BR" sz="1200" b="0" cap="none" spc="0" baseline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 (emos) de</a:t>
          </a:r>
          <a:endParaRPr lang="pt-BR" sz="1200" b="0" cap="none" spc="0">
            <a:ln w="10541" cmpd="sng">
              <a:noFill/>
              <a:prstDash val="solid"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1</xdr:col>
      <xdr:colOff>60683</xdr:colOff>
      <xdr:row>25</xdr:row>
      <xdr:rowOff>141629</xdr:rowOff>
    </xdr:from>
    <xdr:ext cx="981166" cy="280205"/>
    <xdr:sp macro="" textlink="">
      <xdr:nvSpPr>
        <xdr:cNvPr id="42" name="Retângulo 41"/>
        <xdr:cNvSpPr/>
      </xdr:nvSpPr>
      <xdr:spPr>
        <a:xfrm>
          <a:off x="177914" y="1104387"/>
          <a:ext cx="98116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a quantia de</a:t>
          </a:r>
        </a:p>
      </xdr:txBody>
    </xdr:sp>
    <xdr:clientData/>
  </xdr:oneCellAnchor>
  <xdr:oneCellAnchor>
    <xdr:from>
      <xdr:col>1</xdr:col>
      <xdr:colOff>39412</xdr:colOff>
      <xdr:row>29</xdr:row>
      <xdr:rowOff>131887</xdr:rowOff>
    </xdr:from>
    <xdr:ext cx="1411861" cy="280205"/>
    <xdr:sp macro="" textlink="">
      <xdr:nvSpPr>
        <xdr:cNvPr id="43" name="Retângulo 42"/>
        <xdr:cNvSpPr/>
      </xdr:nvSpPr>
      <xdr:spPr>
        <a:xfrm>
          <a:off x="156643" y="1707175"/>
          <a:ext cx="1411861" cy="280205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Correspondente a</a:t>
          </a:r>
        </a:p>
      </xdr:txBody>
    </xdr:sp>
    <xdr:clientData/>
  </xdr:oneCellAnchor>
  <xdr:oneCellAnchor>
    <xdr:from>
      <xdr:col>1</xdr:col>
      <xdr:colOff>47554</xdr:colOff>
      <xdr:row>32</xdr:row>
      <xdr:rowOff>5899</xdr:rowOff>
    </xdr:from>
    <xdr:ext cx="5623484" cy="280205"/>
    <xdr:sp macro="" textlink="">
      <xdr:nvSpPr>
        <xdr:cNvPr id="44" name="Retângulo 43"/>
        <xdr:cNvSpPr/>
      </xdr:nvSpPr>
      <xdr:spPr>
        <a:xfrm>
          <a:off x="164785" y="2152687"/>
          <a:ext cx="5623484" cy="280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100" b="0">
              <a:effectLst/>
              <a:latin typeface="+mn-lt"/>
              <a:ea typeface="+mn-ea"/>
              <a:cs typeface="+mn-cs"/>
            </a:rPr>
            <a:t>Sendo este pago em moeda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corrente nacional</a:t>
          </a:r>
          <a:r>
            <a:rPr lang="pt-BR" sz="1100" b="0">
              <a:effectLst/>
              <a:latin typeface="+mn-lt"/>
              <a:ea typeface="+mn-ea"/>
              <a:cs typeface="+mn-cs"/>
            </a:rPr>
            <a:t>.</a:t>
          </a:r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 E para clareza firmo (amos) o presente.</a:t>
          </a:r>
        </a:p>
      </xdr:txBody>
    </xdr:sp>
    <xdr:clientData/>
  </xdr:oneCellAnchor>
  <xdr:twoCellAnchor>
    <xdr:from>
      <xdr:col>1</xdr:col>
      <xdr:colOff>173082</xdr:colOff>
      <xdr:row>36</xdr:row>
      <xdr:rowOff>115401</xdr:rowOff>
    </xdr:from>
    <xdr:to>
      <xdr:col>7</xdr:col>
      <xdr:colOff>43946</xdr:colOff>
      <xdr:row>36</xdr:row>
      <xdr:rowOff>117232</xdr:rowOff>
    </xdr:to>
    <xdr:cxnSp macro="">
      <xdr:nvCxnSpPr>
        <xdr:cNvPr id="45" name="Conector reto 44"/>
        <xdr:cNvCxnSpPr/>
      </xdr:nvCxnSpPr>
      <xdr:spPr>
        <a:xfrm>
          <a:off x="290313" y="2958247"/>
          <a:ext cx="2618460" cy="183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123185</xdr:colOff>
      <xdr:row>22</xdr:row>
      <xdr:rowOff>156157</xdr:rowOff>
    </xdr:from>
    <xdr:to>
      <xdr:col>15</xdr:col>
      <xdr:colOff>87466</xdr:colOff>
      <xdr:row>38</xdr:row>
      <xdr:rowOff>7328</xdr:rowOff>
    </xdr:to>
    <xdr:sp macro="" textlink="">
      <xdr:nvSpPr>
        <xdr:cNvPr id="46" name="Retângulo de cantos arredondados 45"/>
        <xdr:cNvSpPr/>
      </xdr:nvSpPr>
      <xdr:spPr>
        <a:xfrm>
          <a:off x="240416" y="632407"/>
          <a:ext cx="5642646" cy="2598767"/>
        </a:xfrm>
        <a:prstGeom prst="roundRect">
          <a:avLst>
            <a:gd name="adj" fmla="val 1769"/>
          </a:avLst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153862</xdr:colOff>
      <xdr:row>20</xdr:row>
      <xdr:rowOff>43962</xdr:rowOff>
    </xdr:from>
    <xdr:to>
      <xdr:col>3</xdr:col>
      <xdr:colOff>58614</xdr:colOff>
      <xdr:row>22</xdr:row>
      <xdr:rowOff>139212</xdr:rowOff>
    </xdr:to>
    <xdr:pic>
      <xdr:nvPicPr>
        <xdr:cNvPr id="47" name="Imagem 46" descr="logo_olimp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1093" y="139212"/>
          <a:ext cx="908540" cy="476250"/>
        </a:xfrm>
        <a:prstGeom prst="rect">
          <a:avLst/>
        </a:prstGeom>
      </xdr:spPr>
    </xdr:pic>
    <xdr:clientData/>
  </xdr:twoCellAnchor>
  <xdr:twoCellAnchor>
    <xdr:from>
      <xdr:col>1</xdr:col>
      <xdr:colOff>17861</xdr:colOff>
      <xdr:row>39</xdr:row>
      <xdr:rowOff>23814</xdr:rowOff>
    </xdr:from>
    <xdr:to>
      <xdr:col>15</xdr:col>
      <xdr:colOff>158111</xdr:colOff>
      <xdr:row>57</xdr:row>
      <xdr:rowOff>87923</xdr:rowOff>
    </xdr:to>
    <xdr:sp macro="" textlink="">
      <xdr:nvSpPr>
        <xdr:cNvPr id="48" name="Retângulo de cantos arredondados 47"/>
        <xdr:cNvSpPr/>
      </xdr:nvSpPr>
      <xdr:spPr>
        <a:xfrm>
          <a:off x="135092" y="3394199"/>
          <a:ext cx="5818615" cy="3500436"/>
        </a:xfrm>
        <a:prstGeom prst="roundRect">
          <a:avLst>
            <a:gd name="adj" fmla="val 1978"/>
          </a:avLst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5</xdr:col>
      <xdr:colOff>357647</xdr:colOff>
      <xdr:row>39</xdr:row>
      <xdr:rowOff>21981</xdr:rowOff>
    </xdr:from>
    <xdr:ext cx="1518046" cy="322384"/>
    <xdr:sp macro="" textlink="">
      <xdr:nvSpPr>
        <xdr:cNvPr id="49" name="Retângulo 48"/>
        <xdr:cNvSpPr/>
      </xdr:nvSpPr>
      <xdr:spPr>
        <a:xfrm>
          <a:off x="1881647" y="3392366"/>
          <a:ext cx="1518046" cy="32238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RECIBO</a:t>
          </a:r>
        </a:p>
      </xdr:txBody>
    </xdr:sp>
    <xdr:clientData/>
  </xdr:oneCellAnchor>
  <xdr:oneCellAnchor>
    <xdr:from>
      <xdr:col>8</xdr:col>
      <xdr:colOff>428002</xdr:colOff>
      <xdr:row>39</xdr:row>
      <xdr:rowOff>78525</xdr:rowOff>
    </xdr:from>
    <xdr:ext cx="918008" cy="405432"/>
    <xdr:sp macro="" textlink="">
      <xdr:nvSpPr>
        <xdr:cNvPr id="50" name="Retângulo 49"/>
        <xdr:cNvSpPr/>
      </xdr:nvSpPr>
      <xdr:spPr>
        <a:xfrm>
          <a:off x="3366098" y="3448910"/>
          <a:ext cx="91800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VALOR</a:t>
          </a:r>
        </a:p>
      </xdr:txBody>
    </xdr:sp>
    <xdr:clientData/>
  </xdr:oneCellAnchor>
  <xdr:oneCellAnchor>
    <xdr:from>
      <xdr:col>1</xdr:col>
      <xdr:colOff>54902</xdr:colOff>
      <xdr:row>43</xdr:row>
      <xdr:rowOff>24946</xdr:rowOff>
    </xdr:from>
    <xdr:ext cx="1283236" cy="280205"/>
    <xdr:sp macro="" textlink="">
      <xdr:nvSpPr>
        <xdr:cNvPr id="51" name="Retângulo 50"/>
        <xdr:cNvSpPr/>
      </xdr:nvSpPr>
      <xdr:spPr>
        <a:xfrm>
          <a:off x="172133" y="4157331"/>
          <a:ext cx="128323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Recebi</a:t>
          </a:r>
          <a:r>
            <a:rPr lang="pt-BR" sz="1200" b="0" cap="none" spc="0" baseline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 (emos) de</a:t>
          </a:r>
          <a:endParaRPr lang="pt-BR" sz="1200" b="0" cap="none" spc="0">
            <a:ln w="10541" cmpd="sng">
              <a:noFill/>
              <a:prstDash val="solid"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1</xdr:col>
      <xdr:colOff>60683</xdr:colOff>
      <xdr:row>44</xdr:row>
      <xdr:rowOff>141629</xdr:rowOff>
    </xdr:from>
    <xdr:ext cx="981166" cy="280205"/>
    <xdr:sp macro="" textlink="">
      <xdr:nvSpPr>
        <xdr:cNvPr id="52" name="Retângulo 51"/>
        <xdr:cNvSpPr/>
      </xdr:nvSpPr>
      <xdr:spPr>
        <a:xfrm>
          <a:off x="177914" y="4464514"/>
          <a:ext cx="981166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a quantia de</a:t>
          </a:r>
        </a:p>
      </xdr:txBody>
    </xdr:sp>
    <xdr:clientData/>
  </xdr:oneCellAnchor>
  <xdr:oneCellAnchor>
    <xdr:from>
      <xdr:col>1</xdr:col>
      <xdr:colOff>39412</xdr:colOff>
      <xdr:row>48</xdr:row>
      <xdr:rowOff>131887</xdr:rowOff>
    </xdr:from>
    <xdr:ext cx="1411861" cy="280205"/>
    <xdr:sp macro="" textlink="">
      <xdr:nvSpPr>
        <xdr:cNvPr id="53" name="Retângulo 52"/>
        <xdr:cNvSpPr/>
      </xdr:nvSpPr>
      <xdr:spPr>
        <a:xfrm>
          <a:off x="156643" y="5216772"/>
          <a:ext cx="1411861" cy="280205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Correspondente a</a:t>
          </a:r>
        </a:p>
      </xdr:txBody>
    </xdr:sp>
    <xdr:clientData/>
  </xdr:oneCellAnchor>
  <xdr:oneCellAnchor>
    <xdr:from>
      <xdr:col>1</xdr:col>
      <xdr:colOff>47554</xdr:colOff>
      <xdr:row>51</xdr:row>
      <xdr:rowOff>5899</xdr:rowOff>
    </xdr:from>
    <xdr:ext cx="5623484" cy="280205"/>
    <xdr:sp macro="" textlink="">
      <xdr:nvSpPr>
        <xdr:cNvPr id="54" name="Retângulo 53"/>
        <xdr:cNvSpPr/>
      </xdr:nvSpPr>
      <xdr:spPr>
        <a:xfrm>
          <a:off x="164785" y="5662284"/>
          <a:ext cx="5623484" cy="280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100" b="0">
              <a:effectLst/>
              <a:latin typeface="+mn-lt"/>
              <a:ea typeface="+mn-ea"/>
              <a:cs typeface="+mn-cs"/>
            </a:rPr>
            <a:t>Sendo este pago em moeda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corrente nacional</a:t>
          </a:r>
          <a:r>
            <a:rPr lang="pt-BR" sz="1100" b="0">
              <a:effectLst/>
              <a:latin typeface="+mn-lt"/>
              <a:ea typeface="+mn-ea"/>
              <a:cs typeface="+mn-cs"/>
            </a:rPr>
            <a:t>.</a:t>
          </a:r>
          <a:r>
            <a:rPr lang="pt-BR" sz="1200" b="0" cap="none" spc="0">
              <a:ln w="10541" cmpd="sng">
                <a:noFill/>
                <a:prstDash val="solid"/>
              </a:ln>
              <a:solidFill>
                <a:schemeClr val="tx1"/>
              </a:solidFill>
              <a:effectLst/>
            </a:rPr>
            <a:t>E para clareza firmo (amos) o presente.</a:t>
          </a:r>
        </a:p>
      </xdr:txBody>
    </xdr:sp>
    <xdr:clientData/>
  </xdr:oneCellAnchor>
  <xdr:twoCellAnchor>
    <xdr:from>
      <xdr:col>1</xdr:col>
      <xdr:colOff>173082</xdr:colOff>
      <xdr:row>55</xdr:row>
      <xdr:rowOff>115401</xdr:rowOff>
    </xdr:from>
    <xdr:to>
      <xdr:col>7</xdr:col>
      <xdr:colOff>43946</xdr:colOff>
      <xdr:row>55</xdr:row>
      <xdr:rowOff>117232</xdr:rowOff>
    </xdr:to>
    <xdr:cxnSp macro="">
      <xdr:nvCxnSpPr>
        <xdr:cNvPr id="55" name="Conector reto 54"/>
        <xdr:cNvCxnSpPr/>
      </xdr:nvCxnSpPr>
      <xdr:spPr>
        <a:xfrm>
          <a:off x="290313" y="6541113"/>
          <a:ext cx="2618460" cy="183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123185</xdr:colOff>
      <xdr:row>41</xdr:row>
      <xdr:rowOff>156157</xdr:rowOff>
    </xdr:from>
    <xdr:to>
      <xdr:col>15</xdr:col>
      <xdr:colOff>87466</xdr:colOff>
      <xdr:row>57</xdr:row>
      <xdr:rowOff>7328</xdr:rowOff>
    </xdr:to>
    <xdr:sp macro="" textlink="">
      <xdr:nvSpPr>
        <xdr:cNvPr id="56" name="Retângulo de cantos arredondados 55"/>
        <xdr:cNvSpPr/>
      </xdr:nvSpPr>
      <xdr:spPr>
        <a:xfrm>
          <a:off x="240416" y="3907542"/>
          <a:ext cx="5642646" cy="2906498"/>
        </a:xfrm>
        <a:prstGeom prst="roundRect">
          <a:avLst>
            <a:gd name="adj" fmla="val 1769"/>
          </a:avLst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153862</xdr:colOff>
      <xdr:row>39</xdr:row>
      <xdr:rowOff>43962</xdr:rowOff>
    </xdr:from>
    <xdr:to>
      <xdr:col>3</xdr:col>
      <xdr:colOff>58614</xdr:colOff>
      <xdr:row>41</xdr:row>
      <xdr:rowOff>139212</xdr:rowOff>
    </xdr:to>
    <xdr:pic>
      <xdr:nvPicPr>
        <xdr:cNvPr id="57" name="Imagem 56" descr="logo_olimp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1093" y="3414347"/>
          <a:ext cx="908540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78"/>
  <sheetViews>
    <sheetView showGridLines="0" tabSelected="1" zoomScale="130" zoomScaleNormal="130" workbookViewId="0">
      <selection activeCell="I16" sqref="I16"/>
    </sheetView>
  </sheetViews>
  <sheetFormatPr defaultColWidth="9.140625" defaultRowHeight="15" zeroHeight="1" x14ac:dyDescent="0.25"/>
  <cols>
    <col min="1" max="1" width="1.7109375" style="1" customWidth="1"/>
    <col min="2" max="2" width="2.7109375" style="1" customWidth="1"/>
    <col min="3" max="3" width="12.28515625" style="1" customWidth="1"/>
    <col min="4" max="4" width="4.140625" style="1" customWidth="1"/>
    <col min="5" max="5" width="1.85546875" style="1" customWidth="1"/>
    <col min="6" max="6" width="11.85546875" style="1" customWidth="1"/>
    <col min="7" max="7" width="8.28515625" style="1" customWidth="1"/>
    <col min="8" max="8" width="1.140625" style="1" customWidth="1"/>
    <col min="9" max="9" width="7.7109375" style="1" customWidth="1"/>
    <col min="10" max="10" width="4.85546875" style="1" customWidth="1"/>
    <col min="11" max="11" width="9.140625" style="1" customWidth="1"/>
    <col min="12" max="12" width="6.28515625" style="1" customWidth="1"/>
    <col min="13" max="14" width="2" style="1" customWidth="1"/>
    <col min="15" max="15" width="11" style="1" customWidth="1"/>
    <col min="16" max="16" width="11.140625" style="1" customWidth="1"/>
    <col min="17" max="16383" width="9.140625" style="1"/>
    <col min="16384" max="16384" width="18.5703125" style="1" customWidth="1"/>
  </cols>
  <sheetData>
    <row r="1" spans="1:15" ht="3.75" customHeight="1" x14ac:dyDescent="0.25">
      <c r="A1" s="1" t="s">
        <v>1</v>
      </c>
    </row>
    <row r="2" spans="1:15" x14ac:dyDescent="0.25"/>
    <row r="3" spans="1:15" x14ac:dyDescent="0.25">
      <c r="K3" s="3"/>
      <c r="L3" s="53"/>
      <c r="M3" s="53"/>
      <c r="N3" s="53"/>
      <c r="O3" s="53"/>
    </row>
    <row r="4" spans="1:15" x14ac:dyDescent="0.25"/>
    <row r="5" spans="1:15" ht="7.5" customHeight="1" x14ac:dyDescent="0.25"/>
    <row r="6" spans="1:15" ht="17.25" customHeight="1" x14ac:dyDescent="0.25">
      <c r="E6" s="54" t="s">
        <v>15</v>
      </c>
      <c r="F6" s="54"/>
      <c r="G6" s="54"/>
      <c r="H6" s="54"/>
      <c r="I6" s="54"/>
      <c r="J6" s="54"/>
      <c r="K6" s="54"/>
      <c r="L6" s="54"/>
      <c r="M6" s="54"/>
      <c r="N6" s="54"/>
      <c r="O6" s="54"/>
    </row>
    <row r="7" spans="1:15" ht="9.75" customHeight="1" x14ac:dyDescent="0.25"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x14ac:dyDescent="0.25">
      <c r="D8" s="49" t="str">
        <f>SUBSTITUTE(SUBSTITUTE(PROPER(fExtenso(L3,1/3,"Real","Reais"))," E ", " e "), " De ", " de ")</f>
        <v>Zero Reais</v>
      </c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</row>
    <row r="9" spans="1:15" ht="6.75" customHeight="1" x14ac:dyDescent="0.25"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</row>
    <row r="11" spans="1:15" x14ac:dyDescent="0.25"/>
    <row r="12" spans="1:15" x14ac:dyDescent="0.25">
      <c r="F12" s="55" t="s">
        <v>2</v>
      </c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C13" s="5" t="s">
        <v>6</v>
      </c>
      <c r="D13" s="47">
        <v>42914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</row>
    <row r="14" spans="1:15" x14ac:dyDescent="0.25"/>
    <row r="15" spans="1:15" ht="9" customHeight="1" x14ac:dyDescent="0.25"/>
    <row r="16" spans="1:15" ht="15.75" x14ac:dyDescent="0.25">
      <c r="C16" s="48"/>
      <c r="D16" s="48"/>
      <c r="E16" s="48"/>
      <c r="F16" s="48"/>
      <c r="G16" s="48"/>
      <c r="H16" s="6"/>
      <c r="I16" s="7"/>
      <c r="J16" s="49" t="str">
        <f>"Goiânia-GO, "&amp;DAY('Alimentação dados'!E2)&amp;" de "&amp;PROPER(TEXT('Alimentação dados'!E2,"MMMM"))&amp;" de "&amp;YEAR('Alimentação dados'!E2)</f>
        <v>Goiânia-GO, 29 de Junho de 2017</v>
      </c>
      <c r="K16" s="50"/>
      <c r="L16" s="50"/>
      <c r="M16" s="50"/>
      <c r="N16" s="50"/>
      <c r="O16" s="50"/>
    </row>
    <row r="17" spans="1:15" x14ac:dyDescent="0.25"/>
    <row r="18" spans="1:15" x14ac:dyDescent="0.25"/>
    <row r="19" spans="1:15" x14ac:dyDescent="0.25">
      <c r="C19" s="51"/>
      <c r="D19" s="51"/>
      <c r="E19" s="51"/>
      <c r="F19" s="51"/>
      <c r="G19" s="51"/>
      <c r="H19" s="8"/>
      <c r="I19" s="8"/>
      <c r="J19" s="8" t="s">
        <v>4</v>
      </c>
      <c r="K19" s="52" t="e">
        <f>VLOOKUP(Recibo!C19,'Alimentação dados'!$A$1:$B$44,2,0)</f>
        <v>#N/A</v>
      </c>
      <c r="L19" s="52"/>
      <c r="M19" s="52"/>
      <c r="N19" s="52"/>
      <c r="O19" s="52"/>
    </row>
    <row r="20" spans="1:15" x14ac:dyDescent="0.25">
      <c r="A20" s="4"/>
      <c r="B20" s="4"/>
      <c r="C20" s="4"/>
      <c r="D20" s="4"/>
      <c r="E20" s="4"/>
      <c r="F20" s="9"/>
      <c r="G20" s="9"/>
      <c r="H20" s="9"/>
      <c r="I20" s="9"/>
      <c r="J20" s="9"/>
      <c r="K20" s="9"/>
      <c r="L20" s="9"/>
      <c r="M20" s="9"/>
      <c r="N20" s="4"/>
      <c r="O20" s="4"/>
    </row>
    <row r="21" spans="1:15" x14ac:dyDescent="0.25"/>
    <row r="22" spans="1:15" x14ac:dyDescent="0.25">
      <c r="K22" s="3"/>
      <c r="L22" s="53">
        <v>55</v>
      </c>
      <c r="M22" s="53"/>
      <c r="N22" s="53"/>
      <c r="O22" s="53"/>
    </row>
    <row r="23" spans="1:15" x14ac:dyDescent="0.25"/>
    <row r="24" spans="1:15" x14ac:dyDescent="0.25"/>
    <row r="25" spans="1:15" x14ac:dyDescent="0.25">
      <c r="E25" s="54" t="s">
        <v>15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</row>
    <row r="26" spans="1:15" x14ac:dyDescent="0.25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25">
      <c r="D27" s="49" t="str">
        <f>SUBSTITUTE(SUBSTITUTE(PROPER(fExtenso(L22,1/3,"Real","Reais"))," E ", " e "), " De ", " de ")</f>
        <v>Cinqüenta e Cinco Reais</v>
      </c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</row>
    <row r="28" spans="1:15" x14ac:dyDescent="0.25"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</row>
    <row r="30" spans="1:15" x14ac:dyDescent="0.25"/>
    <row r="31" spans="1:15" x14ac:dyDescent="0.25">
      <c r="F31" s="55" t="s">
        <v>2</v>
      </c>
      <c r="G31" s="55"/>
      <c r="H31" s="55"/>
      <c r="I31" s="55"/>
      <c r="J31" s="55"/>
      <c r="K31" s="55"/>
      <c r="L31" s="55"/>
      <c r="M31" s="55"/>
      <c r="N31" s="55"/>
      <c r="O31" s="55"/>
    </row>
    <row r="32" spans="1:15" x14ac:dyDescent="0.25">
      <c r="C32" s="5" t="s">
        <v>6</v>
      </c>
      <c r="D32" s="47">
        <v>42915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</row>
    <row r="33" spans="1:15" x14ac:dyDescent="0.25"/>
    <row r="34" spans="1:15" x14ac:dyDescent="0.25"/>
    <row r="35" spans="1:15" ht="15.75" x14ac:dyDescent="0.25">
      <c r="C35" s="48"/>
      <c r="D35" s="48"/>
      <c r="E35" s="48"/>
      <c r="F35" s="48"/>
      <c r="G35" s="48"/>
      <c r="H35" s="6"/>
      <c r="I35" s="7"/>
      <c r="J35" s="49" t="str">
        <f>"Goiânia-GO, "&amp;DAY('Alimentação dados'!E2)&amp;" de "&amp;PROPER(TEXT('Alimentação dados'!E2,"MMMM"))&amp;" de "&amp;YEAR('Alimentação dados'!E2)</f>
        <v>Goiânia-GO, 29 de Junho de 2017</v>
      </c>
      <c r="K35" s="50"/>
      <c r="L35" s="50"/>
      <c r="M35" s="50"/>
      <c r="N35" s="50"/>
      <c r="O35" s="50"/>
    </row>
    <row r="36" spans="1:15" x14ac:dyDescent="0.25"/>
    <row r="37" spans="1:15" x14ac:dyDescent="0.25"/>
    <row r="38" spans="1:15" x14ac:dyDescent="0.25">
      <c r="C38" s="51" t="s">
        <v>75</v>
      </c>
      <c r="D38" s="51"/>
      <c r="E38" s="51"/>
      <c r="F38" s="51"/>
      <c r="G38" s="51"/>
      <c r="H38" s="8"/>
      <c r="I38" s="8"/>
      <c r="J38" s="8" t="s">
        <v>4</v>
      </c>
      <c r="K38" s="10" t="str">
        <f>VLOOKUP(Recibo!C38,'Alimentação dados'!$A$1:$B$44,2,0)</f>
        <v>026.677.311-74</v>
      </c>
      <c r="L38" s="10"/>
      <c r="M38" s="10"/>
      <c r="N38" s="10"/>
      <c r="O38" s="10"/>
    </row>
    <row r="39" spans="1:15" x14ac:dyDescent="0.25">
      <c r="A39" s="4"/>
      <c r="B39" s="4"/>
      <c r="C39" s="4"/>
      <c r="D39" s="4"/>
      <c r="E39" s="4"/>
      <c r="F39" s="9"/>
      <c r="G39" s="9"/>
      <c r="H39" s="9"/>
      <c r="I39" s="9"/>
      <c r="J39" s="9"/>
      <c r="K39" s="9"/>
      <c r="L39" s="9"/>
      <c r="M39" s="9"/>
      <c r="N39" s="4"/>
      <c r="O39" s="4"/>
    </row>
    <row r="40" spans="1:15" x14ac:dyDescent="0.25"/>
    <row r="41" spans="1:15" x14ac:dyDescent="0.25">
      <c r="K41" s="3"/>
      <c r="L41" s="53">
        <v>330</v>
      </c>
      <c r="M41" s="53"/>
      <c r="N41" s="53"/>
      <c r="O41" s="53"/>
    </row>
    <row r="42" spans="1:15" x14ac:dyDescent="0.25"/>
    <row r="43" spans="1:15" x14ac:dyDescent="0.25"/>
    <row r="44" spans="1:15" x14ac:dyDescent="0.25">
      <c r="E44" s="54" t="s">
        <v>15</v>
      </c>
      <c r="F44" s="54"/>
      <c r="G44" s="54"/>
      <c r="H44" s="54"/>
      <c r="I44" s="54"/>
      <c r="J44" s="54"/>
      <c r="K44" s="54"/>
      <c r="L44" s="54"/>
      <c r="M44" s="54"/>
      <c r="N44" s="54"/>
      <c r="O44" s="54"/>
    </row>
    <row r="45" spans="1:15" x14ac:dyDescent="0.2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1:15" x14ac:dyDescent="0.25">
      <c r="D46" s="49" t="str">
        <f>SUBSTITUTE(SUBSTITUTE(PROPER(fExtenso(L41,1/3,"Real","Reais"))," E ", " e "), " De ", " de ")</f>
        <v>Trezentos e Trinta Reais</v>
      </c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</row>
    <row r="47" spans="1:15" x14ac:dyDescent="0.25"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</row>
    <row r="49" spans="1:15" x14ac:dyDescent="0.25"/>
    <row r="50" spans="1:15" x14ac:dyDescent="0.25">
      <c r="F50" s="55" t="s">
        <v>2</v>
      </c>
      <c r="G50" s="55"/>
      <c r="H50" s="55"/>
      <c r="I50" s="55"/>
      <c r="J50" s="55"/>
      <c r="K50" s="55"/>
      <c r="L50" s="55"/>
      <c r="M50" s="55"/>
      <c r="N50" s="55"/>
      <c r="O50" s="55"/>
    </row>
    <row r="51" spans="1:15" x14ac:dyDescent="0.25">
      <c r="C51" s="5" t="s">
        <v>6</v>
      </c>
      <c r="D51" s="47" t="s">
        <v>101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</row>
    <row r="52" spans="1:15" x14ac:dyDescent="0.25"/>
    <row r="53" spans="1:15" x14ac:dyDescent="0.25"/>
    <row r="54" spans="1:15" ht="15.75" x14ac:dyDescent="0.25">
      <c r="C54" s="48"/>
      <c r="D54" s="48"/>
      <c r="E54" s="48"/>
      <c r="F54" s="48"/>
      <c r="G54" s="48"/>
      <c r="H54" s="6"/>
      <c r="I54" s="7"/>
      <c r="J54" s="49" t="str">
        <f>"Goiânia-GO, "&amp;DAY('Alimentação dados'!E2)&amp;" de "&amp;PROPER(TEXT('Alimentação dados'!E2,"MMMM"))&amp;" de "&amp;YEAR('Alimentação dados'!E2)</f>
        <v>Goiânia-GO, 29 de Junho de 2017</v>
      </c>
      <c r="K54" s="50"/>
      <c r="L54" s="50"/>
      <c r="M54" s="50"/>
      <c r="N54" s="50"/>
      <c r="O54" s="50"/>
    </row>
    <row r="55" spans="1:15" x14ac:dyDescent="0.25"/>
    <row r="56" spans="1:15" x14ac:dyDescent="0.25"/>
    <row r="57" spans="1:15" x14ac:dyDescent="0.25">
      <c r="C57" s="51" t="s">
        <v>62</v>
      </c>
      <c r="D57" s="51"/>
      <c r="E57" s="51"/>
      <c r="F57" s="51"/>
      <c r="G57" s="51"/>
      <c r="H57" s="8"/>
      <c r="I57" s="8"/>
      <c r="J57" s="8" t="s">
        <v>4</v>
      </c>
      <c r="K57" s="52" t="str">
        <f>VLOOKUP(Recibo!C57,'Alimentação dados'!$A$1:$B$44,2,0)</f>
        <v>035.418.631-02</v>
      </c>
      <c r="L57" s="52"/>
      <c r="M57" s="52"/>
      <c r="N57" s="52"/>
      <c r="O57" s="52"/>
    </row>
    <row r="58" spans="1:15" x14ac:dyDescent="0.25">
      <c r="A58" s="4"/>
      <c r="B58" s="4"/>
      <c r="C58" s="4"/>
      <c r="D58" s="4"/>
      <c r="E58" s="4"/>
      <c r="F58" s="9"/>
      <c r="G58" s="9"/>
      <c r="H58" s="9"/>
      <c r="I58" s="9"/>
      <c r="J58" s="9"/>
      <c r="K58" s="9"/>
      <c r="L58" s="9"/>
      <c r="M58" s="9"/>
      <c r="N58" s="4"/>
      <c r="O58" s="4"/>
    </row>
    <row r="59" spans="1:15" x14ac:dyDescent="0.25"/>
    <row r="60" spans="1:15" x14ac:dyDescent="0.25"/>
    <row r="61" spans="1:15" x14ac:dyDescent="0.25"/>
    <row r="62" spans="1:15" x14ac:dyDescent="0.25"/>
    <row r="63" spans="1:15" x14ac:dyDescent="0.25"/>
    <row r="64" spans="1:15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</sheetData>
  <sheetProtection password="C836" sheet="1" objects="1" scenarios="1"/>
  <dataConsolidate/>
  <mergeCells count="29">
    <mergeCell ref="L3:O3"/>
    <mergeCell ref="D8:O8"/>
    <mergeCell ref="C10:O10"/>
    <mergeCell ref="E6:O6"/>
    <mergeCell ref="D13:O13"/>
    <mergeCell ref="J16:O16"/>
    <mergeCell ref="F12:O12"/>
    <mergeCell ref="C16:G16"/>
    <mergeCell ref="C19:G19"/>
    <mergeCell ref="K19:O19"/>
    <mergeCell ref="C35:G35"/>
    <mergeCell ref="J35:O35"/>
    <mergeCell ref="C38:G38"/>
    <mergeCell ref="D32:O32"/>
    <mergeCell ref="L22:O22"/>
    <mergeCell ref="E25:O25"/>
    <mergeCell ref="D27:O27"/>
    <mergeCell ref="C29:O29"/>
    <mergeCell ref="F31:O31"/>
    <mergeCell ref="L41:O41"/>
    <mergeCell ref="E44:O44"/>
    <mergeCell ref="D46:O46"/>
    <mergeCell ref="C48:O48"/>
    <mergeCell ref="F50:O50"/>
    <mergeCell ref="D51:O51"/>
    <mergeCell ref="C54:G54"/>
    <mergeCell ref="J54:O54"/>
    <mergeCell ref="C57:G57"/>
    <mergeCell ref="K57:O57"/>
  </mergeCells>
  <pageMargins left="0.24" right="0.23" top="0.21" bottom="0.41" header="0.17" footer="0.31496062000000002"/>
  <pageSetup paperSize="9" scale="9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'Alimentação dados'!C21:C37</xm:f>
          </x14:formula1>
          <xm:sqref>F31:O31</xm:sqref>
        </x14:dataValidation>
        <x14:dataValidation type="list" allowBlank="1" showInputMessage="1" showErrorMessage="1">
          <x14:formula1>
            <xm:f>'Alimentação dados'!C2:C18</xm:f>
          </x14:formula1>
          <xm:sqref>F12:O12</xm:sqref>
        </x14:dataValidation>
        <x14:dataValidation type="list" allowBlank="1" showInputMessage="1" showErrorMessage="1">
          <x14:formula1>
            <xm:f>'Alimentação dados'!C40:C44</xm:f>
          </x14:formula1>
          <xm:sqref>F50:O50</xm:sqref>
        </x14:dataValidation>
        <x14:dataValidation type="list" allowBlank="1" showInputMessage="1" showErrorMessage="1">
          <x14:formula1>
            <xm:f>'Alimentação dados'!D2:D24</xm:f>
          </x14:formula1>
          <xm:sqref>D32:O32</xm:sqref>
        </x14:dataValidation>
        <x14:dataValidation type="list" allowBlank="1" showInputMessage="1" showErrorMessage="1">
          <x14:formula1>
            <xm:f>'Alimentação dados'!D2:D5</xm:f>
          </x14:formula1>
          <xm:sqref>D13:O13</xm:sqref>
        </x14:dataValidation>
        <x14:dataValidation type="list" allowBlank="1" showInputMessage="1" showErrorMessage="1">
          <x14:formula1>
            <xm:f>'Alimentação dados'!D2:D43</xm:f>
          </x14:formula1>
          <xm:sqref>D51:O51</xm:sqref>
        </x14:dataValidation>
        <x14:dataValidation type="list" allowBlank="1" showInputMessage="1" showErrorMessage="1">
          <x14:formula1>
            <xm:f>'Alimentação dados'!F21:F48</xm:f>
          </x14:formula1>
          <xm:sqref>H38:I38</xm:sqref>
        </x14:dataValidation>
        <x14:dataValidation type="list" allowBlank="1" showInputMessage="1" showErrorMessage="1">
          <x14:formula1>
            <xm:f>'Alimentação dados'!A2:A44</xm:f>
          </x14:formula1>
          <xm:sqref>C19:I19</xm:sqref>
        </x14:dataValidation>
        <x14:dataValidation type="list" allowBlank="1" showInputMessage="1" showErrorMessage="1">
          <x14:formula1>
            <xm:f>'Alimentação dados'!F40:F67</xm:f>
          </x14:formula1>
          <xm:sqref>H57:I57</xm:sqref>
        </x14:dataValidation>
        <x14:dataValidation type="list" allowBlank="1" showInputMessage="1" showErrorMessage="1">
          <x14:formula1>
            <xm:f>'Alimentação dados'!A2:A48</xm:f>
          </x14:formula1>
          <xm:sqref>C38:G38</xm:sqref>
        </x14:dataValidation>
        <x14:dataValidation type="list" allowBlank="1" showInputMessage="1" showErrorMessage="1">
          <x14:formula1>
            <xm:f>'Alimentação dados'!A2:A67</xm:f>
          </x14:formula1>
          <xm:sqref>C57:G57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45"/>
  <sheetViews>
    <sheetView topLeftCell="A10" zoomScaleNormal="100" workbookViewId="0">
      <selection activeCell="D42" sqref="D42"/>
    </sheetView>
  </sheetViews>
  <sheetFormatPr defaultRowHeight="15" x14ac:dyDescent="0.25"/>
  <cols>
    <col min="1" max="1" width="37.85546875" style="16" customWidth="1"/>
    <col min="2" max="2" width="15" style="16" bestFit="1" customWidth="1"/>
    <col min="3" max="3" width="23.42578125" style="16" bestFit="1" customWidth="1"/>
    <col min="4" max="4" width="25.140625" style="16" customWidth="1"/>
    <col min="5" max="5" width="27.7109375" style="16" customWidth="1"/>
    <col min="6" max="6" width="10.7109375" style="16" bestFit="1" customWidth="1"/>
    <col min="7" max="16384" width="9.140625" style="16"/>
  </cols>
  <sheetData>
    <row r="1" spans="1:6" x14ac:dyDescent="0.25">
      <c r="A1" s="11" t="s">
        <v>3</v>
      </c>
      <c r="B1" s="12" t="s">
        <v>4</v>
      </c>
      <c r="C1" s="13" t="s">
        <v>0</v>
      </c>
      <c r="D1" s="13" t="s">
        <v>5</v>
      </c>
      <c r="E1" s="14" t="s">
        <v>14</v>
      </c>
      <c r="F1" s="15"/>
    </row>
    <row r="2" spans="1:6" x14ac:dyDescent="0.25">
      <c r="A2" s="19" t="s">
        <v>16</v>
      </c>
      <c r="B2" s="20" t="s">
        <v>17</v>
      </c>
      <c r="C2" s="21" t="s">
        <v>18</v>
      </c>
      <c r="D2" s="22"/>
      <c r="E2" s="22">
        <v>42915</v>
      </c>
    </row>
    <row r="3" spans="1:6" x14ac:dyDescent="0.25">
      <c r="A3" s="23" t="s">
        <v>19</v>
      </c>
      <c r="B3" s="18" t="s">
        <v>20</v>
      </c>
      <c r="C3" s="21" t="s">
        <v>18</v>
      </c>
      <c r="D3" s="22">
        <v>42915</v>
      </c>
      <c r="E3" s="22">
        <v>42915</v>
      </c>
    </row>
    <row r="4" spans="1:6" x14ac:dyDescent="0.25">
      <c r="A4" s="27" t="s">
        <v>71</v>
      </c>
      <c r="B4" s="18" t="s">
        <v>83</v>
      </c>
      <c r="C4" s="21" t="s">
        <v>18</v>
      </c>
      <c r="D4" s="22"/>
      <c r="E4" s="22">
        <v>42915</v>
      </c>
    </row>
    <row r="5" spans="1:6" x14ac:dyDescent="0.25">
      <c r="A5" s="27" t="s">
        <v>76</v>
      </c>
      <c r="B5" s="18" t="s">
        <v>78</v>
      </c>
      <c r="C5" s="21" t="s">
        <v>18</v>
      </c>
      <c r="D5" s="22">
        <v>42914</v>
      </c>
      <c r="E5" s="22">
        <v>42915</v>
      </c>
    </row>
    <row r="6" spans="1:6" x14ac:dyDescent="0.25">
      <c r="A6" s="23" t="s">
        <v>21</v>
      </c>
      <c r="B6" s="20" t="s">
        <v>7</v>
      </c>
      <c r="C6" s="21" t="s">
        <v>18</v>
      </c>
      <c r="D6" s="22">
        <v>42915</v>
      </c>
      <c r="E6" s="22">
        <v>42915</v>
      </c>
    </row>
    <row r="7" spans="1:6" x14ac:dyDescent="0.25">
      <c r="A7" s="27" t="s">
        <v>87</v>
      </c>
      <c r="B7" s="18" t="s">
        <v>89</v>
      </c>
      <c r="C7" s="17" t="s">
        <v>18</v>
      </c>
      <c r="D7" s="30"/>
      <c r="E7" s="22">
        <v>42915</v>
      </c>
    </row>
    <row r="8" spans="1:6" x14ac:dyDescent="0.25">
      <c r="A8" s="27" t="s">
        <v>91</v>
      </c>
      <c r="B8" s="18" t="s">
        <v>92</v>
      </c>
      <c r="C8" s="17" t="s">
        <v>18</v>
      </c>
      <c r="D8" s="30"/>
      <c r="E8" s="22">
        <v>42915</v>
      </c>
    </row>
    <row r="9" spans="1:6" x14ac:dyDescent="0.25">
      <c r="A9" s="23" t="s">
        <v>22</v>
      </c>
      <c r="B9" s="18" t="s">
        <v>8</v>
      </c>
      <c r="C9" s="21" t="s">
        <v>18</v>
      </c>
      <c r="D9" s="22"/>
      <c r="E9" s="22">
        <v>42915</v>
      </c>
    </row>
    <row r="10" spans="1:6" x14ac:dyDescent="0.25">
      <c r="A10" s="23" t="s">
        <v>23</v>
      </c>
      <c r="B10" s="24" t="s">
        <v>9</v>
      </c>
      <c r="C10" s="21" t="s">
        <v>18</v>
      </c>
      <c r="D10" s="22">
        <v>42915</v>
      </c>
      <c r="E10" s="22">
        <v>42915</v>
      </c>
    </row>
    <row r="11" spans="1:6" x14ac:dyDescent="0.25">
      <c r="A11" s="23" t="s">
        <v>24</v>
      </c>
      <c r="B11" s="25" t="s">
        <v>25</v>
      </c>
      <c r="C11" s="21" t="s">
        <v>18</v>
      </c>
      <c r="D11" s="22"/>
      <c r="E11" s="22">
        <v>42915</v>
      </c>
    </row>
    <row r="12" spans="1:6" x14ac:dyDescent="0.25">
      <c r="A12" s="23" t="s">
        <v>26</v>
      </c>
      <c r="B12" s="18" t="s">
        <v>27</v>
      </c>
      <c r="C12" s="21" t="s">
        <v>18</v>
      </c>
      <c r="D12" s="22">
        <v>42914</v>
      </c>
      <c r="E12" s="22">
        <v>42915</v>
      </c>
    </row>
    <row r="13" spans="1:6" x14ac:dyDescent="0.25">
      <c r="A13" s="27" t="s">
        <v>73</v>
      </c>
      <c r="B13" s="18" t="s">
        <v>81</v>
      </c>
      <c r="C13" s="21" t="s">
        <v>18</v>
      </c>
      <c r="D13" s="22"/>
      <c r="E13" s="22">
        <v>42915</v>
      </c>
    </row>
    <row r="14" spans="1:6" x14ac:dyDescent="0.25">
      <c r="A14" s="27" t="s">
        <v>77</v>
      </c>
      <c r="B14" s="18" t="s">
        <v>80</v>
      </c>
      <c r="C14" s="21" t="s">
        <v>18</v>
      </c>
      <c r="D14" s="22"/>
      <c r="E14" s="22">
        <v>42915</v>
      </c>
    </row>
    <row r="15" spans="1:6" x14ac:dyDescent="0.25">
      <c r="A15" s="29" t="s">
        <v>68</v>
      </c>
      <c r="B15" s="18" t="s">
        <v>69</v>
      </c>
      <c r="C15" s="21" t="s">
        <v>18</v>
      </c>
      <c r="D15" s="22" t="s">
        <v>100</v>
      </c>
      <c r="E15" s="22">
        <v>42915</v>
      </c>
    </row>
    <row r="16" spans="1:6" x14ac:dyDescent="0.25">
      <c r="A16" s="23" t="s">
        <v>28</v>
      </c>
      <c r="B16" s="25" t="s">
        <v>29</v>
      </c>
      <c r="C16" s="21" t="s">
        <v>18</v>
      </c>
      <c r="D16" s="22" t="s">
        <v>100</v>
      </c>
      <c r="E16" s="22">
        <v>42915</v>
      </c>
    </row>
    <row r="17" spans="1:5" x14ac:dyDescent="0.25">
      <c r="A17" s="23" t="s">
        <v>30</v>
      </c>
      <c r="B17" s="18" t="s">
        <v>29</v>
      </c>
      <c r="C17" s="21" t="s">
        <v>18</v>
      </c>
      <c r="D17" s="22"/>
      <c r="E17" s="22">
        <v>42915</v>
      </c>
    </row>
    <row r="18" spans="1:5" x14ac:dyDescent="0.25">
      <c r="A18" s="23" t="s">
        <v>31</v>
      </c>
      <c r="B18" s="36" t="s">
        <v>32</v>
      </c>
      <c r="C18" s="21" t="s">
        <v>18</v>
      </c>
      <c r="D18" s="22"/>
      <c r="E18" s="22">
        <v>42915</v>
      </c>
    </row>
    <row r="19" spans="1:5" x14ac:dyDescent="0.25">
      <c r="A19" s="23" t="s">
        <v>33</v>
      </c>
      <c r="B19" s="18" t="s">
        <v>34</v>
      </c>
      <c r="C19" s="21" t="s">
        <v>18</v>
      </c>
      <c r="D19" s="22">
        <v>42915</v>
      </c>
      <c r="E19" s="22">
        <v>42915</v>
      </c>
    </row>
    <row r="20" spans="1:5" x14ac:dyDescent="0.25">
      <c r="A20" s="31" t="s">
        <v>67</v>
      </c>
      <c r="B20" s="35" t="s">
        <v>70</v>
      </c>
      <c r="C20" s="21" t="s">
        <v>18</v>
      </c>
      <c r="D20" s="22" t="s">
        <v>100</v>
      </c>
      <c r="E20" s="22">
        <v>42915</v>
      </c>
    </row>
    <row r="21" spans="1:5" x14ac:dyDescent="0.25">
      <c r="A21" s="23" t="s">
        <v>35</v>
      </c>
      <c r="B21" s="18" t="s">
        <v>36</v>
      </c>
      <c r="C21" s="21" t="s">
        <v>18</v>
      </c>
      <c r="D21" s="22" t="s">
        <v>100</v>
      </c>
      <c r="E21" s="22">
        <v>42915</v>
      </c>
    </row>
    <row r="22" spans="1:5" x14ac:dyDescent="0.25">
      <c r="A22" s="23" t="s">
        <v>37</v>
      </c>
      <c r="B22" s="26" t="s">
        <v>38</v>
      </c>
      <c r="C22" s="21" t="s">
        <v>18</v>
      </c>
      <c r="D22" s="22">
        <v>42915</v>
      </c>
      <c r="E22" s="22">
        <v>42915</v>
      </c>
    </row>
    <row r="23" spans="1:5" x14ac:dyDescent="0.25">
      <c r="A23" s="23" t="s">
        <v>39</v>
      </c>
      <c r="B23" s="26" t="s">
        <v>40</v>
      </c>
      <c r="C23" s="21" t="s">
        <v>18</v>
      </c>
      <c r="D23" s="22"/>
      <c r="E23" s="22">
        <v>42915</v>
      </c>
    </row>
    <row r="24" spans="1:5" x14ac:dyDescent="0.25">
      <c r="A24" s="23" t="s">
        <v>41</v>
      </c>
      <c r="B24" s="26" t="s">
        <v>42</v>
      </c>
      <c r="C24" s="21" t="s">
        <v>18</v>
      </c>
      <c r="D24" s="22"/>
      <c r="E24" s="22">
        <v>42915</v>
      </c>
    </row>
    <row r="25" spans="1:5" x14ac:dyDescent="0.25">
      <c r="A25" s="23" t="s">
        <v>43</v>
      </c>
      <c r="B25" s="18" t="s">
        <v>44</v>
      </c>
      <c r="C25" s="21" t="s">
        <v>18</v>
      </c>
      <c r="D25" s="22" t="s">
        <v>100</v>
      </c>
      <c r="E25" s="22">
        <v>42915</v>
      </c>
    </row>
    <row r="26" spans="1:5" x14ac:dyDescent="0.25">
      <c r="A26" s="23" t="s">
        <v>45</v>
      </c>
      <c r="B26" s="32" t="s">
        <v>46</v>
      </c>
      <c r="C26" s="21" t="s">
        <v>18</v>
      </c>
      <c r="D26" s="22"/>
      <c r="E26" s="22">
        <v>42915</v>
      </c>
    </row>
    <row r="27" spans="1:5" x14ac:dyDescent="0.25">
      <c r="A27" s="27" t="s">
        <v>88</v>
      </c>
      <c r="B27" s="18" t="s">
        <v>90</v>
      </c>
      <c r="C27" s="17" t="s">
        <v>18</v>
      </c>
      <c r="D27" s="30"/>
      <c r="E27" s="22">
        <v>42915</v>
      </c>
    </row>
    <row r="28" spans="1:5" x14ac:dyDescent="0.25">
      <c r="A28" s="27" t="s">
        <v>85</v>
      </c>
      <c r="B28" s="33" t="s">
        <v>86</v>
      </c>
      <c r="C28" s="28" t="s">
        <v>18</v>
      </c>
      <c r="D28" s="30"/>
      <c r="E28" s="22">
        <v>42915</v>
      </c>
    </row>
    <row r="29" spans="1:5" x14ac:dyDescent="0.25">
      <c r="A29" s="27" t="s">
        <v>66</v>
      </c>
      <c r="B29" s="18">
        <v>70022132104</v>
      </c>
      <c r="C29" s="21" t="s">
        <v>18</v>
      </c>
      <c r="D29" s="22" t="s">
        <v>100</v>
      </c>
      <c r="E29" s="22">
        <v>42915</v>
      </c>
    </row>
    <row r="30" spans="1:5" x14ac:dyDescent="0.25">
      <c r="A30" s="27" t="s">
        <v>74</v>
      </c>
      <c r="B30" s="18" t="s">
        <v>82</v>
      </c>
      <c r="C30" s="21" t="s">
        <v>18</v>
      </c>
      <c r="D30" s="22">
        <v>42915</v>
      </c>
      <c r="E30" s="22">
        <v>42915</v>
      </c>
    </row>
    <row r="31" spans="1:5" x14ac:dyDescent="0.25">
      <c r="A31" s="27" t="s">
        <v>72</v>
      </c>
      <c r="B31" s="18" t="s">
        <v>79</v>
      </c>
      <c r="C31" s="21" t="s">
        <v>18</v>
      </c>
      <c r="D31" s="22" t="s">
        <v>100</v>
      </c>
      <c r="E31" s="22">
        <v>42915</v>
      </c>
    </row>
    <row r="32" spans="1:5" x14ac:dyDescent="0.25">
      <c r="A32" s="23" t="s">
        <v>47</v>
      </c>
      <c r="B32" s="18">
        <v>3068585171</v>
      </c>
      <c r="C32" s="21" t="s">
        <v>18</v>
      </c>
      <c r="D32" s="22" t="s">
        <v>101</v>
      </c>
      <c r="E32" s="22">
        <v>42915</v>
      </c>
    </row>
    <row r="33" spans="1:5" x14ac:dyDescent="0.25">
      <c r="A33" s="23" t="s">
        <v>48</v>
      </c>
      <c r="B33" s="25" t="s">
        <v>49</v>
      </c>
      <c r="C33" s="28" t="s">
        <v>18</v>
      </c>
      <c r="D33" s="22">
        <v>42915</v>
      </c>
      <c r="E33" s="22">
        <v>42915</v>
      </c>
    </row>
    <row r="34" spans="1:5" x14ac:dyDescent="0.25">
      <c r="A34" s="23" t="s">
        <v>50</v>
      </c>
      <c r="B34" s="18" t="s">
        <v>51</v>
      </c>
      <c r="C34" s="28" t="s">
        <v>18</v>
      </c>
      <c r="D34" s="30" t="s">
        <v>101</v>
      </c>
      <c r="E34" s="22">
        <v>42915</v>
      </c>
    </row>
    <row r="35" spans="1:5" x14ac:dyDescent="0.25">
      <c r="A35" s="23" t="s">
        <v>52</v>
      </c>
      <c r="B35" s="26" t="s">
        <v>53</v>
      </c>
      <c r="C35" s="28" t="s">
        <v>18</v>
      </c>
      <c r="D35" s="30"/>
      <c r="E35" s="22">
        <v>42915</v>
      </c>
    </row>
    <row r="36" spans="1:5" x14ac:dyDescent="0.25">
      <c r="A36" s="23" t="s">
        <v>54</v>
      </c>
      <c r="B36" s="18" t="s">
        <v>55</v>
      </c>
      <c r="C36" s="28" t="s">
        <v>18</v>
      </c>
      <c r="D36" s="30" t="s">
        <v>100</v>
      </c>
      <c r="E36" s="22">
        <v>42915</v>
      </c>
    </row>
    <row r="37" spans="1:5" x14ac:dyDescent="0.25">
      <c r="A37" s="23" t="s">
        <v>56</v>
      </c>
      <c r="B37" s="18" t="s">
        <v>57</v>
      </c>
      <c r="C37" s="28" t="s">
        <v>18</v>
      </c>
      <c r="D37" s="30" t="s">
        <v>100</v>
      </c>
      <c r="E37" s="22">
        <v>42915</v>
      </c>
    </row>
    <row r="38" spans="1:5" x14ac:dyDescent="0.25">
      <c r="A38" s="23" t="s">
        <v>58</v>
      </c>
      <c r="B38" s="26" t="s">
        <v>59</v>
      </c>
      <c r="C38" s="28" t="s">
        <v>18</v>
      </c>
      <c r="D38" s="28"/>
      <c r="E38" s="22">
        <v>42915</v>
      </c>
    </row>
    <row r="39" spans="1:5" x14ac:dyDescent="0.25">
      <c r="A39" s="23" t="s">
        <v>60</v>
      </c>
      <c r="B39" s="34" t="s">
        <v>61</v>
      </c>
      <c r="C39" s="28" t="s">
        <v>18</v>
      </c>
      <c r="D39" s="30" t="s">
        <v>100</v>
      </c>
      <c r="E39" s="22">
        <v>42915</v>
      </c>
    </row>
    <row r="40" spans="1:5" x14ac:dyDescent="0.25">
      <c r="A40" s="23" t="s">
        <v>62</v>
      </c>
      <c r="B40" s="18" t="s">
        <v>63</v>
      </c>
      <c r="C40" s="28" t="s">
        <v>18</v>
      </c>
      <c r="D40" s="22" t="s">
        <v>101</v>
      </c>
      <c r="E40" s="22">
        <v>42915</v>
      </c>
    </row>
    <row r="41" spans="1:5" x14ac:dyDescent="0.25">
      <c r="A41" s="23" t="s">
        <v>64</v>
      </c>
      <c r="B41" s="18" t="s">
        <v>65</v>
      </c>
      <c r="C41" s="28" t="s">
        <v>18</v>
      </c>
      <c r="D41" s="30">
        <v>42914</v>
      </c>
      <c r="E41" s="22">
        <v>42915</v>
      </c>
    </row>
    <row r="42" spans="1:5" x14ac:dyDescent="0.25">
      <c r="A42" s="27" t="s">
        <v>75</v>
      </c>
      <c r="B42" s="18" t="s">
        <v>84</v>
      </c>
      <c r="C42" s="28" t="s">
        <v>18</v>
      </c>
      <c r="D42" s="30">
        <v>42915</v>
      </c>
      <c r="E42" s="22">
        <v>42915</v>
      </c>
    </row>
    <row r="43" spans="1:5" x14ac:dyDescent="0.25">
      <c r="A43" s="64" t="s">
        <v>99</v>
      </c>
      <c r="B43" s="63" t="s">
        <v>102</v>
      </c>
      <c r="C43" s="65" t="s">
        <v>18</v>
      </c>
      <c r="D43" s="66">
        <v>42915</v>
      </c>
      <c r="E43" s="67">
        <v>42915</v>
      </c>
    </row>
    <row r="44" spans="1:5" x14ac:dyDescent="0.25">
      <c r="A44" s="69" t="s">
        <v>98</v>
      </c>
      <c r="B44" s="68" t="s">
        <v>103</v>
      </c>
      <c r="C44" s="28" t="s">
        <v>18</v>
      </c>
      <c r="D44" s="30">
        <v>42915</v>
      </c>
      <c r="E44" s="22">
        <v>42915</v>
      </c>
    </row>
    <row r="45" spans="1:5" x14ac:dyDescent="0.25">
      <c r="D45" s="15"/>
    </row>
  </sheetData>
  <autoFilter ref="A1:E1">
    <sortState ref="A2:E5">
      <sortCondition ref="A1"/>
    </sortState>
  </autoFilter>
  <sortState ref="A2:E43">
    <sortCondition ref="A2"/>
  </sortState>
  <pageMargins left="0.511811024" right="0.511811024" top="0.78740157499999996" bottom="0.78740157499999996" header="0.31496062000000002" footer="0.31496062000000002"/>
  <pageSetup paperSize="9" scale="6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0"/>
  <sheetViews>
    <sheetView zoomScaleNormal="100" workbookViewId="0">
      <selection activeCell="D3" sqref="D3"/>
    </sheetView>
  </sheetViews>
  <sheetFormatPr defaultRowHeight="15" x14ac:dyDescent="0.25"/>
  <cols>
    <col min="1" max="1" width="50.7109375" customWidth="1"/>
    <col min="2" max="2" width="11.140625" style="38" customWidth="1"/>
    <col min="3" max="4" width="11.5703125" style="38" customWidth="1"/>
    <col min="5" max="5" width="8.140625" style="38" customWidth="1"/>
    <col min="6" max="6" width="36.140625" customWidth="1"/>
  </cols>
  <sheetData>
    <row r="1" spans="1:6" ht="19.5" thickBot="1" x14ac:dyDescent="0.35">
      <c r="A1" s="56" t="s">
        <v>13</v>
      </c>
      <c r="B1" s="57"/>
      <c r="C1" s="57"/>
      <c r="D1" s="57"/>
      <c r="E1" s="57"/>
      <c r="F1" s="58"/>
    </row>
    <row r="2" spans="1:6" x14ac:dyDescent="0.25">
      <c r="A2" s="39" t="s">
        <v>10</v>
      </c>
      <c r="B2" s="40">
        <v>42913</v>
      </c>
      <c r="C2" s="40">
        <v>42914</v>
      </c>
      <c r="D2" s="40">
        <v>42915</v>
      </c>
      <c r="E2" s="41" t="s">
        <v>11</v>
      </c>
      <c r="F2" s="42" t="s">
        <v>12</v>
      </c>
    </row>
    <row r="3" spans="1:6" x14ac:dyDescent="0.25">
      <c r="A3" s="23" t="s">
        <v>19</v>
      </c>
      <c r="B3" s="45"/>
      <c r="C3" s="45"/>
      <c r="D3" s="45">
        <v>55</v>
      </c>
      <c r="E3" s="45">
        <f>SUM(B3:D3)</f>
        <v>55</v>
      </c>
      <c r="F3" s="46"/>
    </row>
    <row r="4" spans="1:6" x14ac:dyDescent="0.25">
      <c r="A4" s="59" t="s">
        <v>76</v>
      </c>
      <c r="B4" s="43"/>
      <c r="C4" s="43">
        <v>55</v>
      </c>
      <c r="D4" s="43"/>
      <c r="E4" s="43">
        <f>SUM(B4:D4)</f>
        <v>55</v>
      </c>
      <c r="F4" s="44"/>
    </row>
    <row r="5" spans="1:6" x14ac:dyDescent="0.25">
      <c r="A5" s="23" t="s">
        <v>21</v>
      </c>
      <c r="B5" s="45"/>
      <c r="C5" s="45"/>
      <c r="D5" s="45">
        <v>55</v>
      </c>
      <c r="E5" s="45">
        <f>SUM(B5:D5)</f>
        <v>55</v>
      </c>
      <c r="F5" s="46"/>
    </row>
    <row r="6" spans="1:6" x14ac:dyDescent="0.25">
      <c r="A6" s="59" t="s">
        <v>97</v>
      </c>
      <c r="B6" s="43"/>
      <c r="C6" s="43"/>
      <c r="D6" s="43">
        <v>55</v>
      </c>
      <c r="E6" s="43">
        <f>SUM(B6:D6)</f>
        <v>55</v>
      </c>
      <c r="F6" s="44"/>
    </row>
    <row r="7" spans="1:6" x14ac:dyDescent="0.25">
      <c r="A7" s="23" t="s">
        <v>23</v>
      </c>
      <c r="B7" s="45"/>
      <c r="C7" s="45"/>
      <c r="D7" s="45">
        <v>55</v>
      </c>
      <c r="E7" s="45">
        <f>SUM(B7:D7)</f>
        <v>55</v>
      </c>
      <c r="F7" s="46"/>
    </row>
    <row r="8" spans="1:6" x14ac:dyDescent="0.25">
      <c r="A8" s="59" t="s">
        <v>26</v>
      </c>
      <c r="B8" s="43"/>
      <c r="C8" s="43">
        <v>55</v>
      </c>
      <c r="D8" s="43"/>
      <c r="E8" s="43">
        <f>SUM(B8:D8)</f>
        <v>55</v>
      </c>
      <c r="F8" s="44"/>
    </row>
    <row r="9" spans="1:6" x14ac:dyDescent="0.25">
      <c r="A9" s="23" t="s">
        <v>68</v>
      </c>
      <c r="B9" s="45"/>
      <c r="C9" s="45">
        <v>55</v>
      </c>
      <c r="D9" s="45">
        <v>55</v>
      </c>
      <c r="E9" s="45">
        <f>SUM(B9:D9)</f>
        <v>110</v>
      </c>
      <c r="F9" s="46"/>
    </row>
    <row r="10" spans="1:6" x14ac:dyDescent="0.25">
      <c r="A10" s="59" t="s">
        <v>95</v>
      </c>
      <c r="B10" s="43"/>
      <c r="C10" s="43">
        <v>55</v>
      </c>
      <c r="D10" s="43">
        <v>55</v>
      </c>
      <c r="E10" s="43">
        <f>SUM(B10:D10)</f>
        <v>110</v>
      </c>
      <c r="F10" s="44"/>
    </row>
    <row r="11" spans="1:6" x14ac:dyDescent="0.25">
      <c r="A11" s="23" t="s">
        <v>33</v>
      </c>
      <c r="B11" s="45"/>
      <c r="C11" s="45"/>
      <c r="D11" s="45">
        <v>55</v>
      </c>
      <c r="E11" s="45">
        <f>SUM(B11:D11)</f>
        <v>55</v>
      </c>
      <c r="F11" s="46"/>
    </row>
    <row r="12" spans="1:6" x14ac:dyDescent="0.25">
      <c r="A12" s="59" t="s">
        <v>67</v>
      </c>
      <c r="B12" s="43"/>
      <c r="C12" s="43">
        <v>55</v>
      </c>
      <c r="D12" s="43">
        <v>55</v>
      </c>
      <c r="E12" s="43">
        <f>SUM(B12:D12)</f>
        <v>110</v>
      </c>
      <c r="F12" s="44"/>
    </row>
    <row r="13" spans="1:6" x14ac:dyDescent="0.25">
      <c r="A13" s="23" t="s">
        <v>35</v>
      </c>
      <c r="B13" s="45"/>
      <c r="C13" s="45">
        <v>55</v>
      </c>
      <c r="D13" s="45">
        <v>55</v>
      </c>
      <c r="E13" s="45">
        <f>SUM(B13:D13)</f>
        <v>110</v>
      </c>
      <c r="F13" s="46"/>
    </row>
    <row r="14" spans="1:6" x14ac:dyDescent="0.25">
      <c r="A14" s="59" t="s">
        <v>37</v>
      </c>
      <c r="B14" s="43"/>
      <c r="C14" s="43"/>
      <c r="D14" s="43">
        <v>55</v>
      </c>
      <c r="E14" s="43">
        <f>SUM(B14:D14)</f>
        <v>55</v>
      </c>
      <c r="F14" s="44"/>
    </row>
    <row r="15" spans="1:6" x14ac:dyDescent="0.25">
      <c r="A15" s="23" t="s">
        <v>43</v>
      </c>
      <c r="B15" s="45"/>
      <c r="C15" s="45">
        <v>55</v>
      </c>
      <c r="D15" s="45">
        <v>55</v>
      </c>
      <c r="E15" s="45">
        <f>SUM(B15:D15)</f>
        <v>110</v>
      </c>
      <c r="F15" s="46"/>
    </row>
    <row r="16" spans="1:6" x14ac:dyDescent="0.25">
      <c r="A16" s="59" t="s">
        <v>66</v>
      </c>
      <c r="B16" s="43"/>
      <c r="C16" s="43">
        <v>55</v>
      </c>
      <c r="D16" s="43">
        <v>55</v>
      </c>
      <c r="E16" s="43">
        <f>SUM(B16:D16)</f>
        <v>110</v>
      </c>
      <c r="F16" s="44"/>
    </row>
    <row r="17" spans="1:6" x14ac:dyDescent="0.25">
      <c r="A17" s="23" t="s">
        <v>74</v>
      </c>
      <c r="B17" s="45"/>
      <c r="C17" s="45"/>
      <c r="D17" s="45">
        <v>55</v>
      </c>
      <c r="E17" s="45">
        <f>SUM(B17:D17)</f>
        <v>55</v>
      </c>
      <c r="F17" s="46"/>
    </row>
    <row r="18" spans="1:6" x14ac:dyDescent="0.25">
      <c r="A18" s="59" t="s">
        <v>72</v>
      </c>
      <c r="B18" s="43"/>
      <c r="C18" s="43">
        <v>55</v>
      </c>
      <c r="D18" s="43">
        <v>55</v>
      </c>
      <c r="E18" s="43">
        <f>SUM(B18:D18)</f>
        <v>110</v>
      </c>
      <c r="F18" s="44"/>
    </row>
    <row r="19" spans="1:6" x14ac:dyDescent="0.25">
      <c r="A19" s="23" t="s">
        <v>47</v>
      </c>
      <c r="B19" s="45">
        <v>55</v>
      </c>
      <c r="C19" s="45">
        <v>55</v>
      </c>
      <c r="D19" s="45">
        <v>55</v>
      </c>
      <c r="E19" s="45">
        <f>SUM(B19:D19)</f>
        <v>165</v>
      </c>
      <c r="F19" s="46"/>
    </row>
    <row r="20" spans="1:6" x14ac:dyDescent="0.25">
      <c r="A20" s="59" t="s">
        <v>48</v>
      </c>
      <c r="B20" s="43"/>
      <c r="C20" s="43"/>
      <c r="D20" s="43">
        <v>55</v>
      </c>
      <c r="E20" s="43">
        <f>SUM(B20:D20)</f>
        <v>55</v>
      </c>
      <c r="F20" s="44"/>
    </row>
    <row r="21" spans="1:6" x14ac:dyDescent="0.25">
      <c r="A21" s="23" t="s">
        <v>94</v>
      </c>
      <c r="B21" s="45">
        <v>55</v>
      </c>
      <c r="C21" s="45">
        <v>55</v>
      </c>
      <c r="D21" s="45">
        <v>55</v>
      </c>
      <c r="E21" s="45">
        <f>SUM(B21:D21)</f>
        <v>165</v>
      </c>
      <c r="F21" s="46"/>
    </row>
    <row r="22" spans="1:6" x14ac:dyDescent="0.25">
      <c r="A22" s="59" t="s">
        <v>98</v>
      </c>
      <c r="B22" s="43"/>
      <c r="C22" s="43"/>
      <c r="D22" s="43">
        <v>55</v>
      </c>
      <c r="E22" s="43">
        <f>SUM(B22:D22)</f>
        <v>55</v>
      </c>
      <c r="F22" s="44"/>
    </row>
    <row r="23" spans="1:6" x14ac:dyDescent="0.25">
      <c r="A23" s="23" t="s">
        <v>96</v>
      </c>
      <c r="B23" s="45"/>
      <c r="C23" s="45">
        <v>55</v>
      </c>
      <c r="D23" s="45">
        <v>55</v>
      </c>
      <c r="E23" s="45">
        <f>SUM(B23:D23)</f>
        <v>110</v>
      </c>
      <c r="F23" s="46"/>
    </row>
    <row r="24" spans="1:6" x14ac:dyDescent="0.25">
      <c r="A24" s="59" t="s">
        <v>56</v>
      </c>
      <c r="B24" s="43"/>
      <c r="C24" s="43">
        <v>55</v>
      </c>
      <c r="D24" s="43">
        <v>55</v>
      </c>
      <c r="E24" s="43">
        <f>SUM(B24:D24)</f>
        <v>110</v>
      </c>
      <c r="F24" s="44"/>
    </row>
    <row r="25" spans="1:6" x14ac:dyDescent="0.25">
      <c r="A25" s="23" t="s">
        <v>60</v>
      </c>
      <c r="B25" s="45"/>
      <c r="C25" s="45">
        <v>55</v>
      </c>
      <c r="D25" s="45">
        <v>55</v>
      </c>
      <c r="E25" s="45">
        <f>SUM(B25:D25)</f>
        <v>110</v>
      </c>
      <c r="F25" s="46"/>
    </row>
    <row r="26" spans="1:6" x14ac:dyDescent="0.25">
      <c r="A26" s="59" t="s">
        <v>93</v>
      </c>
      <c r="B26" s="43">
        <v>110</v>
      </c>
      <c r="C26" s="43">
        <v>110</v>
      </c>
      <c r="D26" s="43">
        <v>110</v>
      </c>
      <c r="E26" s="43">
        <f>SUM(B26:D26)</f>
        <v>330</v>
      </c>
      <c r="F26" s="44"/>
    </row>
    <row r="27" spans="1:6" x14ac:dyDescent="0.25">
      <c r="A27" s="23" t="s">
        <v>64</v>
      </c>
      <c r="B27" s="45"/>
      <c r="C27" s="45">
        <v>55</v>
      </c>
      <c r="D27" s="45"/>
      <c r="E27" s="45">
        <f>SUM(B27:D27)</f>
        <v>55</v>
      </c>
      <c r="F27" s="46"/>
    </row>
    <row r="28" spans="1:6" x14ac:dyDescent="0.25">
      <c r="A28" s="59" t="s">
        <v>75</v>
      </c>
      <c r="B28" s="43"/>
      <c r="C28" s="43"/>
      <c r="D28" s="43">
        <v>55</v>
      </c>
      <c r="E28" s="43">
        <f>SUM(B28:D28)</f>
        <v>55</v>
      </c>
      <c r="F28" s="44"/>
    </row>
    <row r="29" spans="1:6" x14ac:dyDescent="0.25">
      <c r="A29" s="23"/>
      <c r="B29" s="45"/>
      <c r="C29" s="45"/>
      <c r="D29" s="45"/>
      <c r="E29" s="45">
        <f>SUM(B29:D29)</f>
        <v>0</v>
      </c>
      <c r="F29" s="46"/>
    </row>
    <row r="30" spans="1:6" x14ac:dyDescent="0.25">
      <c r="A30" s="59"/>
      <c r="B30" s="43"/>
      <c r="C30" s="43"/>
      <c r="D30" s="43"/>
      <c r="E30" s="43">
        <f>SUM(B30:D30)</f>
        <v>0</v>
      </c>
      <c r="F30" s="44"/>
    </row>
    <row r="31" spans="1:6" x14ac:dyDescent="0.25">
      <c r="A31" s="23"/>
      <c r="B31" s="45"/>
      <c r="C31" s="45"/>
      <c r="D31" s="45"/>
      <c r="E31" s="45">
        <f>SUM(B31:D31)</f>
        <v>0</v>
      </c>
      <c r="F31" s="46"/>
    </row>
    <row r="32" spans="1:6" x14ac:dyDescent="0.25">
      <c r="A32" s="59"/>
      <c r="B32" s="43"/>
      <c r="C32" s="43"/>
      <c r="D32" s="43"/>
      <c r="E32" s="43">
        <f>SUM(B32:D32)</f>
        <v>0</v>
      </c>
      <c r="F32" s="44"/>
    </row>
    <row r="33" spans="1:6" x14ac:dyDescent="0.25">
      <c r="A33" s="23"/>
      <c r="B33" s="45"/>
      <c r="C33" s="45"/>
      <c r="D33" s="45"/>
      <c r="E33" s="45">
        <f>SUM(B33:D33)</f>
        <v>0</v>
      </c>
      <c r="F33" s="46"/>
    </row>
    <row r="34" spans="1:6" x14ac:dyDescent="0.25">
      <c r="A34" s="59"/>
      <c r="B34" s="43"/>
      <c r="C34" s="43"/>
      <c r="D34" s="43"/>
      <c r="E34" s="43">
        <f>SUM(B34:D34)</f>
        <v>0</v>
      </c>
      <c r="F34" s="44"/>
    </row>
    <row r="35" spans="1:6" ht="15.75" thickBot="1" x14ac:dyDescent="0.3">
      <c r="A35" s="60"/>
      <c r="B35" s="61"/>
      <c r="C35" s="61"/>
      <c r="D35" s="61"/>
      <c r="E35" s="61">
        <f>SUM(E3:E34)</f>
        <v>2475</v>
      </c>
      <c r="F35" s="62"/>
    </row>
    <row r="36" spans="1:6" x14ac:dyDescent="0.25">
      <c r="B36" s="37"/>
      <c r="C36" s="37"/>
      <c r="D36" s="37"/>
      <c r="E36" s="37"/>
    </row>
    <row r="37" spans="1:6" x14ac:dyDescent="0.25">
      <c r="B37" s="37"/>
      <c r="C37" s="37"/>
      <c r="D37" s="37"/>
      <c r="E37" s="37"/>
    </row>
    <row r="38" spans="1:6" x14ac:dyDescent="0.25">
      <c r="B38" s="37"/>
      <c r="C38" s="37"/>
      <c r="D38" s="37"/>
      <c r="E38" s="37"/>
    </row>
    <row r="39" spans="1:6" x14ac:dyDescent="0.25">
      <c r="B39" s="37"/>
      <c r="C39" s="37"/>
      <c r="D39" s="37"/>
      <c r="E39" s="37"/>
    </row>
    <row r="40" spans="1:6" x14ac:dyDescent="0.25">
      <c r="B40" s="37"/>
      <c r="C40" s="37"/>
      <c r="D40" s="37"/>
      <c r="E40" s="37"/>
    </row>
  </sheetData>
  <sortState ref="A3:F35">
    <sortCondition ref="A3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scale="93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Recibo</vt:lpstr>
      <vt:lpstr>Alimentação dados</vt:lpstr>
      <vt:lpstr>Lista de Presença</vt:lpstr>
      <vt:lpstr>PRI.MAIÚSCULA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</dc:creator>
  <cp:lastModifiedBy>Rosiane.machado</cp:lastModifiedBy>
  <cp:lastPrinted>2017-06-28T12:44:10Z</cp:lastPrinted>
  <dcterms:created xsi:type="dcterms:W3CDTF">2010-05-25T14:13:03Z</dcterms:created>
  <dcterms:modified xsi:type="dcterms:W3CDTF">2017-06-28T13:19:05Z</dcterms:modified>
</cp:coreProperties>
</file>